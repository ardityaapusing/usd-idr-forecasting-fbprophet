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E7F28C0-8533-4579-8AC4-23D2898BCF89}" xr6:coauthVersionLast="47" xr6:coauthVersionMax="47" xr10:uidLastSave="{00000000-0000-0000-0000-000000000000}"/>
  <bookViews>
    <workbookView xWindow="-110" yWindow="-110" windowWidth="19420" windowHeight="10300" xr2:uid="{258EFC53-DD63-4AE9-A7C0-82546B3E11B7}"/>
  </bookViews>
  <sheets>
    <sheet name="Sheet1 (3)" sheetId="3" r:id="rId1"/>
    <sheet name="Sheet1 (2)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3" l="1"/>
  <c r="F5" i="3"/>
  <c r="F4" i="3"/>
  <c r="F3" i="3"/>
  <c r="F2" i="3"/>
  <c r="F2" i="2"/>
  <c r="F3" i="2"/>
  <c r="F4" i="2"/>
  <c r="F5" i="2"/>
  <c r="F6" i="2"/>
  <c r="F7" i="2"/>
  <c r="F8" i="2"/>
  <c r="F9" i="2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J6" i="2"/>
  <c r="J5" i="2"/>
  <c r="J4" i="2"/>
  <c r="J3" i="2"/>
  <c r="J2" i="2"/>
  <c r="K9" i="1" a="1"/>
  <c r="K9" i="1" s="1"/>
  <c r="L6" i="1"/>
  <c r="L5" i="1"/>
  <c r="L4" i="1"/>
  <c r="L3" i="1"/>
  <c r="L2" i="1"/>
  <c r="I9" i="2" l="1" a="1"/>
  <c r="I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<sst xmlns="http://schemas.openxmlformats.org/spreadsheetml/2006/main" count="48" uniqueCount="22">
  <si>
    <t>ds</t>
  </si>
  <si>
    <t>y</t>
  </si>
  <si>
    <t>yhat</t>
  </si>
  <si>
    <t>trend</t>
  </si>
  <si>
    <t>weekly</t>
  </si>
  <si>
    <t>Mean</t>
  </si>
  <si>
    <t>Varians</t>
  </si>
  <si>
    <t>Nilai Maksimum</t>
  </si>
  <si>
    <t>Nilai Minimum</t>
  </si>
  <si>
    <t>Simpangan Baku</t>
  </si>
  <si>
    <t>Maximum</t>
  </si>
  <si>
    <t>Minimum</t>
  </si>
  <si>
    <t>Standard Deviation</t>
  </si>
  <si>
    <t>Variance</t>
  </si>
  <si>
    <t>actual</t>
  </si>
  <si>
    <t>forecast</t>
  </si>
  <si>
    <t>…</t>
  </si>
  <si>
    <t>….</t>
  </si>
  <si>
    <t>…..</t>
  </si>
  <si>
    <t>error</t>
  </si>
  <si>
    <t>..</t>
  </si>
  <si>
    <t>Hasil Peramalan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</si>
</sst>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yyyy\-mm\-dd\ hh:mm:ss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64" fontId="2" fillId="0" borderId="0" xfId="0" applyNumberFormat="1" applyFont="1"/>
    <xf numFmtId="165" fontId="0" fillId="0" borderId="0" xfId="1" applyNumberFormat="1" applyFont="1"/>
    <xf numFmtId="166" fontId="3" fillId="0" borderId="0" xfId="0" applyNumberFormat="1" applyFont="1"/>
    <xf numFmtId="165" fontId="0" fillId="0" borderId="0" xfId="0" applyNumberFormat="1"/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2" fontId="6" fillId="0" borderId="1" xfId="0" applyNumberFormat="1" applyFont="1" applyBorder="1"/>
    <xf numFmtId="166" fontId="7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63135372687473E-2"/>
          <c:y val="0.15374093264248706"/>
          <c:w val="0.89919441718283999"/>
          <c:h val="0.6216030353718737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Sheet1!$A$2:$A$167</c:f>
              <c:numCache>
                <c:formatCode>yyyy\-mm\-dd;@</c:formatCode>
                <c:ptCount val="166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  <c:pt idx="21">
                  <c:v>44958</c:v>
                </c:pt>
                <c:pt idx="22">
                  <c:v>44959</c:v>
                </c:pt>
                <c:pt idx="23">
                  <c:v>44960</c:v>
                </c:pt>
                <c:pt idx="24">
                  <c:v>44963</c:v>
                </c:pt>
                <c:pt idx="25">
                  <c:v>44964</c:v>
                </c:pt>
                <c:pt idx="26">
                  <c:v>44965</c:v>
                </c:pt>
                <c:pt idx="27">
                  <c:v>44966</c:v>
                </c:pt>
                <c:pt idx="28">
                  <c:v>44967</c:v>
                </c:pt>
                <c:pt idx="29">
                  <c:v>44970</c:v>
                </c:pt>
                <c:pt idx="30">
                  <c:v>44971</c:v>
                </c:pt>
                <c:pt idx="31">
                  <c:v>44972</c:v>
                </c:pt>
                <c:pt idx="32">
                  <c:v>44973</c:v>
                </c:pt>
                <c:pt idx="33">
                  <c:v>44974</c:v>
                </c:pt>
                <c:pt idx="34">
                  <c:v>44977</c:v>
                </c:pt>
                <c:pt idx="35">
                  <c:v>44978</c:v>
                </c:pt>
                <c:pt idx="36">
                  <c:v>44979</c:v>
                </c:pt>
                <c:pt idx="37">
                  <c:v>44980</c:v>
                </c:pt>
                <c:pt idx="38">
                  <c:v>44981</c:v>
                </c:pt>
                <c:pt idx="39">
                  <c:v>44984</c:v>
                </c:pt>
                <c:pt idx="40">
                  <c:v>44985</c:v>
                </c:pt>
                <c:pt idx="41">
                  <c:v>44986</c:v>
                </c:pt>
                <c:pt idx="42">
                  <c:v>44987</c:v>
                </c:pt>
                <c:pt idx="43">
                  <c:v>44988</c:v>
                </c:pt>
                <c:pt idx="44">
                  <c:v>44991</c:v>
                </c:pt>
                <c:pt idx="45">
                  <c:v>44992</c:v>
                </c:pt>
                <c:pt idx="46">
                  <c:v>44993</c:v>
                </c:pt>
                <c:pt idx="47">
                  <c:v>44994</c:v>
                </c:pt>
                <c:pt idx="48">
                  <c:v>44995</c:v>
                </c:pt>
                <c:pt idx="49">
                  <c:v>44998</c:v>
                </c:pt>
                <c:pt idx="50">
                  <c:v>44999</c:v>
                </c:pt>
                <c:pt idx="51">
                  <c:v>45000</c:v>
                </c:pt>
                <c:pt idx="52">
                  <c:v>45001</c:v>
                </c:pt>
                <c:pt idx="53">
                  <c:v>45002</c:v>
                </c:pt>
                <c:pt idx="54">
                  <c:v>45005</c:v>
                </c:pt>
                <c:pt idx="55">
                  <c:v>45006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45042</c:v>
                </c:pt>
                <c:pt idx="74">
                  <c:v>45043</c:v>
                </c:pt>
                <c:pt idx="75">
                  <c:v>45044</c:v>
                </c:pt>
                <c:pt idx="76">
                  <c:v>45048</c:v>
                </c:pt>
                <c:pt idx="77">
                  <c:v>45049</c:v>
                </c:pt>
                <c:pt idx="78">
                  <c:v>45050</c:v>
                </c:pt>
                <c:pt idx="79">
                  <c:v>45051</c:v>
                </c:pt>
                <c:pt idx="80">
                  <c:v>45054</c:v>
                </c:pt>
                <c:pt idx="81">
                  <c:v>45055</c:v>
                </c:pt>
                <c:pt idx="82">
                  <c:v>45056</c:v>
                </c:pt>
                <c:pt idx="83">
                  <c:v>45057</c:v>
                </c:pt>
                <c:pt idx="84">
                  <c:v>45058</c:v>
                </c:pt>
                <c:pt idx="85">
                  <c:v>45061</c:v>
                </c:pt>
                <c:pt idx="86">
                  <c:v>45062</c:v>
                </c:pt>
                <c:pt idx="87">
                  <c:v>45063</c:v>
                </c:pt>
                <c:pt idx="88">
                  <c:v>45065</c:v>
                </c:pt>
                <c:pt idx="89">
                  <c:v>45068</c:v>
                </c:pt>
                <c:pt idx="90">
                  <c:v>45069</c:v>
                </c:pt>
                <c:pt idx="91">
                  <c:v>45070</c:v>
                </c:pt>
                <c:pt idx="92">
                  <c:v>45071</c:v>
                </c:pt>
                <c:pt idx="93">
                  <c:v>45072</c:v>
                </c:pt>
                <c:pt idx="94">
                  <c:v>45075</c:v>
                </c:pt>
                <c:pt idx="95">
                  <c:v>45076</c:v>
                </c:pt>
                <c:pt idx="96">
                  <c:v>45077</c:v>
                </c:pt>
                <c:pt idx="97">
                  <c:v>45082</c:v>
                </c:pt>
                <c:pt idx="98">
                  <c:v>45083</c:v>
                </c:pt>
                <c:pt idx="99">
                  <c:v>45084</c:v>
                </c:pt>
                <c:pt idx="100">
                  <c:v>45085</c:v>
                </c:pt>
                <c:pt idx="101">
                  <c:v>45086</c:v>
                </c:pt>
                <c:pt idx="102">
                  <c:v>45089</c:v>
                </c:pt>
                <c:pt idx="103">
                  <c:v>45090</c:v>
                </c:pt>
                <c:pt idx="104">
                  <c:v>45091</c:v>
                </c:pt>
                <c:pt idx="105">
                  <c:v>45092</c:v>
                </c:pt>
                <c:pt idx="106">
                  <c:v>45093</c:v>
                </c:pt>
                <c:pt idx="107">
                  <c:v>45096</c:v>
                </c:pt>
                <c:pt idx="108">
                  <c:v>45097</c:v>
                </c:pt>
                <c:pt idx="109">
                  <c:v>45098</c:v>
                </c:pt>
                <c:pt idx="110">
                  <c:v>45099</c:v>
                </c:pt>
                <c:pt idx="111">
                  <c:v>45100</c:v>
                </c:pt>
                <c:pt idx="112">
                  <c:v>45103</c:v>
                </c:pt>
                <c:pt idx="113">
                  <c:v>45104</c:v>
                </c:pt>
                <c:pt idx="114">
                  <c:v>45110</c:v>
                </c:pt>
                <c:pt idx="115">
                  <c:v>45111</c:v>
                </c:pt>
                <c:pt idx="116">
                  <c:v>45112</c:v>
                </c:pt>
                <c:pt idx="117">
                  <c:v>45113</c:v>
                </c:pt>
                <c:pt idx="118">
                  <c:v>45114</c:v>
                </c:pt>
                <c:pt idx="119">
                  <c:v>45117</c:v>
                </c:pt>
                <c:pt idx="120">
                  <c:v>45118</c:v>
                </c:pt>
                <c:pt idx="121">
                  <c:v>45119</c:v>
                </c:pt>
                <c:pt idx="122">
                  <c:v>45120</c:v>
                </c:pt>
                <c:pt idx="123">
                  <c:v>45121</c:v>
                </c:pt>
                <c:pt idx="124">
                  <c:v>45124</c:v>
                </c:pt>
                <c:pt idx="125">
                  <c:v>45125</c:v>
                </c:pt>
                <c:pt idx="126">
                  <c:v>45127</c:v>
                </c:pt>
                <c:pt idx="127">
                  <c:v>45128</c:v>
                </c:pt>
                <c:pt idx="128">
                  <c:v>45131</c:v>
                </c:pt>
                <c:pt idx="129">
                  <c:v>45132</c:v>
                </c:pt>
                <c:pt idx="130">
                  <c:v>45133</c:v>
                </c:pt>
                <c:pt idx="131">
                  <c:v>45134</c:v>
                </c:pt>
                <c:pt idx="132">
                  <c:v>45135</c:v>
                </c:pt>
                <c:pt idx="133">
                  <c:v>45138</c:v>
                </c:pt>
                <c:pt idx="134">
                  <c:v>45139</c:v>
                </c:pt>
                <c:pt idx="135">
                  <c:v>45140</c:v>
                </c:pt>
                <c:pt idx="136">
                  <c:v>45141</c:v>
                </c:pt>
                <c:pt idx="137">
                  <c:v>45142</c:v>
                </c:pt>
                <c:pt idx="138">
                  <c:v>45145</c:v>
                </c:pt>
                <c:pt idx="139">
                  <c:v>45146</c:v>
                </c:pt>
                <c:pt idx="140">
                  <c:v>45147</c:v>
                </c:pt>
                <c:pt idx="141">
                  <c:v>45148</c:v>
                </c:pt>
                <c:pt idx="142">
                  <c:v>45149</c:v>
                </c:pt>
                <c:pt idx="143">
                  <c:v>45152</c:v>
                </c:pt>
                <c:pt idx="144">
                  <c:v>45153</c:v>
                </c:pt>
                <c:pt idx="145">
                  <c:v>45154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45173</c:v>
                </c:pt>
                <c:pt idx="158">
                  <c:v>45174</c:v>
                </c:pt>
                <c:pt idx="159">
                  <c:v>45175</c:v>
                </c:pt>
                <c:pt idx="160">
                  <c:v>45176</c:v>
                </c:pt>
                <c:pt idx="161">
                  <c:v>45177</c:v>
                </c:pt>
                <c:pt idx="162">
                  <c:v>45180</c:v>
                </c:pt>
                <c:pt idx="163">
                  <c:v>45181</c:v>
                </c:pt>
                <c:pt idx="164">
                  <c:v>45182</c:v>
                </c:pt>
                <c:pt idx="165">
                  <c:v>45183</c:v>
                </c:pt>
              </c:numCache>
            </c:numRef>
          </c:xVal>
          <c:yVal>
            <c:numRef>
              <c:f>Sheet1!$B$2:$B$167</c:f>
              <c:numCache>
                <c:formatCode>_(* #,##0_);_(* \(#,##0\);_(* "-"??_);_(@_)</c:formatCode>
                <c:ptCount val="166"/>
                <c:pt idx="0">
                  <c:v>15572</c:v>
                </c:pt>
                <c:pt idx="1">
                  <c:v>15590</c:v>
                </c:pt>
                <c:pt idx="2">
                  <c:v>15615</c:v>
                </c:pt>
                <c:pt idx="3">
                  <c:v>15610</c:v>
                </c:pt>
                <c:pt idx="4">
                  <c:v>15635</c:v>
                </c:pt>
                <c:pt idx="5">
                  <c:v>15574</c:v>
                </c:pt>
                <c:pt idx="6">
                  <c:v>15589</c:v>
                </c:pt>
                <c:pt idx="7">
                  <c:v>15527</c:v>
                </c:pt>
                <c:pt idx="8">
                  <c:v>15366</c:v>
                </c:pt>
                <c:pt idx="9">
                  <c:v>15177</c:v>
                </c:pt>
                <c:pt idx="10">
                  <c:v>15019</c:v>
                </c:pt>
                <c:pt idx="11">
                  <c:v>15154</c:v>
                </c:pt>
                <c:pt idx="12">
                  <c:v>15137</c:v>
                </c:pt>
                <c:pt idx="13">
                  <c:v>15113</c:v>
                </c:pt>
                <c:pt idx="14">
                  <c:v>15121</c:v>
                </c:pt>
                <c:pt idx="15">
                  <c:v>14930</c:v>
                </c:pt>
                <c:pt idx="16">
                  <c:v>14958</c:v>
                </c:pt>
                <c:pt idx="17">
                  <c:v>14964</c:v>
                </c:pt>
                <c:pt idx="18">
                  <c:v>14978</c:v>
                </c:pt>
                <c:pt idx="19">
                  <c:v>14979</c:v>
                </c:pt>
                <c:pt idx="20">
                  <c:v>14992</c:v>
                </c:pt>
                <c:pt idx="21">
                  <c:v>14991</c:v>
                </c:pt>
                <c:pt idx="22">
                  <c:v>14868</c:v>
                </c:pt>
                <c:pt idx="23">
                  <c:v>14898</c:v>
                </c:pt>
                <c:pt idx="24">
                  <c:v>15055</c:v>
                </c:pt>
                <c:pt idx="25">
                  <c:v>15139</c:v>
                </c:pt>
                <c:pt idx="26">
                  <c:v>15122</c:v>
                </c:pt>
                <c:pt idx="27">
                  <c:v>15120</c:v>
                </c:pt>
                <c:pt idx="28">
                  <c:v>15140</c:v>
                </c:pt>
                <c:pt idx="29">
                  <c:v>15216</c:v>
                </c:pt>
                <c:pt idx="30">
                  <c:v>15168</c:v>
                </c:pt>
                <c:pt idx="31">
                  <c:v>15194</c:v>
                </c:pt>
                <c:pt idx="32">
                  <c:v>15176</c:v>
                </c:pt>
                <c:pt idx="33">
                  <c:v>15199</c:v>
                </c:pt>
                <c:pt idx="34">
                  <c:v>15168</c:v>
                </c:pt>
                <c:pt idx="35">
                  <c:v>15179</c:v>
                </c:pt>
                <c:pt idx="36">
                  <c:v>15218</c:v>
                </c:pt>
                <c:pt idx="37">
                  <c:v>15187</c:v>
                </c:pt>
                <c:pt idx="38">
                  <c:v>15216</c:v>
                </c:pt>
                <c:pt idx="39">
                  <c:v>15274</c:v>
                </c:pt>
                <c:pt idx="40">
                  <c:v>15240</c:v>
                </c:pt>
                <c:pt idx="41">
                  <c:v>15250</c:v>
                </c:pt>
                <c:pt idx="42">
                  <c:v>15273</c:v>
                </c:pt>
                <c:pt idx="43">
                  <c:v>15306</c:v>
                </c:pt>
                <c:pt idx="44">
                  <c:v>15301</c:v>
                </c:pt>
                <c:pt idx="45">
                  <c:v>15359</c:v>
                </c:pt>
                <c:pt idx="46">
                  <c:v>15451</c:v>
                </c:pt>
                <c:pt idx="47">
                  <c:v>15438</c:v>
                </c:pt>
                <c:pt idx="48">
                  <c:v>15468</c:v>
                </c:pt>
                <c:pt idx="49">
                  <c:v>15374</c:v>
                </c:pt>
                <c:pt idx="50">
                  <c:v>15380</c:v>
                </c:pt>
                <c:pt idx="51">
                  <c:v>15365</c:v>
                </c:pt>
                <c:pt idx="52">
                  <c:v>15418</c:v>
                </c:pt>
                <c:pt idx="53">
                  <c:v>15364</c:v>
                </c:pt>
                <c:pt idx="54">
                  <c:v>15372</c:v>
                </c:pt>
                <c:pt idx="55">
                  <c:v>15349</c:v>
                </c:pt>
                <c:pt idx="56">
                  <c:v>15189</c:v>
                </c:pt>
                <c:pt idx="57">
                  <c:v>15174</c:v>
                </c:pt>
                <c:pt idx="58">
                  <c:v>15088</c:v>
                </c:pt>
                <c:pt idx="59">
                  <c:v>15094</c:v>
                </c:pt>
                <c:pt idx="60">
                  <c:v>15062</c:v>
                </c:pt>
                <c:pt idx="61">
                  <c:v>14977</c:v>
                </c:pt>
                <c:pt idx="62">
                  <c:v>14990</c:v>
                </c:pt>
                <c:pt idx="63">
                  <c:v>14913</c:v>
                </c:pt>
                <c:pt idx="64">
                  <c:v>14933</c:v>
                </c:pt>
                <c:pt idx="65">
                  <c:v>14943</c:v>
                </c:pt>
                <c:pt idx="66">
                  <c:v>14905</c:v>
                </c:pt>
                <c:pt idx="67">
                  <c:v>14888</c:v>
                </c:pt>
                <c:pt idx="68">
                  <c:v>14866</c:v>
                </c:pt>
                <c:pt idx="69">
                  <c:v>14792</c:v>
                </c:pt>
                <c:pt idx="70">
                  <c:v>14666</c:v>
                </c:pt>
                <c:pt idx="71">
                  <c:v>14773</c:v>
                </c:pt>
                <c:pt idx="72">
                  <c:v>14855</c:v>
                </c:pt>
                <c:pt idx="73">
                  <c:v>14882</c:v>
                </c:pt>
                <c:pt idx="74">
                  <c:v>14751</c:v>
                </c:pt>
                <c:pt idx="75">
                  <c:v>14661</c:v>
                </c:pt>
                <c:pt idx="76">
                  <c:v>14703</c:v>
                </c:pt>
                <c:pt idx="77">
                  <c:v>14706</c:v>
                </c:pt>
                <c:pt idx="78">
                  <c:v>14632</c:v>
                </c:pt>
                <c:pt idx="79">
                  <c:v>14674</c:v>
                </c:pt>
                <c:pt idx="80">
                  <c:v>14709</c:v>
                </c:pt>
                <c:pt idx="81">
                  <c:v>14757</c:v>
                </c:pt>
                <c:pt idx="82">
                  <c:v>14746</c:v>
                </c:pt>
                <c:pt idx="83">
                  <c:v>14722</c:v>
                </c:pt>
                <c:pt idx="84">
                  <c:v>14752</c:v>
                </c:pt>
                <c:pt idx="85">
                  <c:v>14812</c:v>
                </c:pt>
                <c:pt idx="86">
                  <c:v>14810</c:v>
                </c:pt>
                <c:pt idx="87">
                  <c:v>14875</c:v>
                </c:pt>
                <c:pt idx="88">
                  <c:v>14936</c:v>
                </c:pt>
                <c:pt idx="89">
                  <c:v>14897</c:v>
                </c:pt>
                <c:pt idx="90">
                  <c:v>14878</c:v>
                </c:pt>
                <c:pt idx="91">
                  <c:v>14905</c:v>
                </c:pt>
                <c:pt idx="92">
                  <c:v>14952</c:v>
                </c:pt>
                <c:pt idx="93">
                  <c:v>14959</c:v>
                </c:pt>
                <c:pt idx="94">
                  <c:v>14973</c:v>
                </c:pt>
                <c:pt idx="95">
                  <c:v>14969</c:v>
                </c:pt>
                <c:pt idx="96">
                  <c:v>15003</c:v>
                </c:pt>
                <c:pt idx="97">
                  <c:v>14888</c:v>
                </c:pt>
                <c:pt idx="98">
                  <c:v>14839</c:v>
                </c:pt>
                <c:pt idx="99">
                  <c:v>14875</c:v>
                </c:pt>
                <c:pt idx="100">
                  <c:v>14903</c:v>
                </c:pt>
                <c:pt idx="101">
                  <c:v>14853</c:v>
                </c:pt>
                <c:pt idx="102">
                  <c:v>14874</c:v>
                </c:pt>
                <c:pt idx="103">
                  <c:v>14868</c:v>
                </c:pt>
                <c:pt idx="104">
                  <c:v>14895</c:v>
                </c:pt>
                <c:pt idx="105">
                  <c:v>14943</c:v>
                </c:pt>
                <c:pt idx="106">
                  <c:v>14945</c:v>
                </c:pt>
                <c:pt idx="107">
                  <c:v>14994</c:v>
                </c:pt>
                <c:pt idx="108">
                  <c:v>15040</c:v>
                </c:pt>
                <c:pt idx="109">
                  <c:v>14982</c:v>
                </c:pt>
                <c:pt idx="110">
                  <c:v>14918</c:v>
                </c:pt>
                <c:pt idx="111">
                  <c:v>14998</c:v>
                </c:pt>
                <c:pt idx="112">
                  <c:v>15026</c:v>
                </c:pt>
                <c:pt idx="113">
                  <c:v>15000</c:v>
                </c:pt>
                <c:pt idx="114">
                  <c:v>15034</c:v>
                </c:pt>
                <c:pt idx="115">
                  <c:v>15018</c:v>
                </c:pt>
                <c:pt idx="116">
                  <c:v>15013</c:v>
                </c:pt>
                <c:pt idx="117">
                  <c:v>15062</c:v>
                </c:pt>
                <c:pt idx="118">
                  <c:v>15136</c:v>
                </c:pt>
                <c:pt idx="119">
                  <c:v>15192</c:v>
                </c:pt>
                <c:pt idx="120">
                  <c:v>15162</c:v>
                </c:pt>
                <c:pt idx="121">
                  <c:v>15084</c:v>
                </c:pt>
                <c:pt idx="122">
                  <c:v>14978</c:v>
                </c:pt>
                <c:pt idx="123">
                  <c:v>14945</c:v>
                </c:pt>
                <c:pt idx="124">
                  <c:v>15007</c:v>
                </c:pt>
                <c:pt idx="125">
                  <c:v>14994</c:v>
                </c:pt>
                <c:pt idx="126">
                  <c:v>14991</c:v>
                </c:pt>
                <c:pt idx="127">
                  <c:v>15026</c:v>
                </c:pt>
                <c:pt idx="128">
                  <c:v>15028</c:v>
                </c:pt>
                <c:pt idx="129">
                  <c:v>15007</c:v>
                </c:pt>
                <c:pt idx="130">
                  <c:v>15032</c:v>
                </c:pt>
                <c:pt idx="131">
                  <c:v>15003</c:v>
                </c:pt>
                <c:pt idx="132">
                  <c:v>15083</c:v>
                </c:pt>
                <c:pt idx="133">
                  <c:v>15092</c:v>
                </c:pt>
                <c:pt idx="134">
                  <c:v>15117</c:v>
                </c:pt>
                <c:pt idx="135">
                  <c:v>15171</c:v>
                </c:pt>
                <c:pt idx="136">
                  <c:v>15198</c:v>
                </c:pt>
                <c:pt idx="137">
                  <c:v>15168</c:v>
                </c:pt>
                <c:pt idx="138">
                  <c:v>15178</c:v>
                </c:pt>
                <c:pt idx="139">
                  <c:v>15229</c:v>
                </c:pt>
                <c:pt idx="140">
                  <c:v>15206</c:v>
                </c:pt>
                <c:pt idx="141">
                  <c:v>15204</c:v>
                </c:pt>
                <c:pt idx="142">
                  <c:v>15225</c:v>
                </c:pt>
                <c:pt idx="143">
                  <c:v>15323</c:v>
                </c:pt>
                <c:pt idx="144">
                  <c:v>15346</c:v>
                </c:pt>
                <c:pt idx="145">
                  <c:v>15308</c:v>
                </c:pt>
                <c:pt idx="146">
                  <c:v>15308</c:v>
                </c:pt>
                <c:pt idx="147">
                  <c:v>15329</c:v>
                </c:pt>
                <c:pt idx="148">
                  <c:v>15326</c:v>
                </c:pt>
                <c:pt idx="149">
                  <c:v>15319</c:v>
                </c:pt>
                <c:pt idx="150">
                  <c:v>15253</c:v>
                </c:pt>
                <c:pt idx="151">
                  <c:v>15297</c:v>
                </c:pt>
                <c:pt idx="152">
                  <c:v>15294</c:v>
                </c:pt>
                <c:pt idx="153">
                  <c:v>15263</c:v>
                </c:pt>
                <c:pt idx="154">
                  <c:v>15239</c:v>
                </c:pt>
                <c:pt idx="155">
                  <c:v>15237</c:v>
                </c:pt>
                <c:pt idx="156">
                  <c:v>15252</c:v>
                </c:pt>
                <c:pt idx="157">
                  <c:v>15247</c:v>
                </c:pt>
                <c:pt idx="158">
                  <c:v>15260</c:v>
                </c:pt>
                <c:pt idx="159">
                  <c:v>15307</c:v>
                </c:pt>
                <c:pt idx="160">
                  <c:v>15334</c:v>
                </c:pt>
                <c:pt idx="161">
                  <c:v>15341</c:v>
                </c:pt>
                <c:pt idx="162">
                  <c:v>15352</c:v>
                </c:pt>
                <c:pt idx="163">
                  <c:v>15344</c:v>
                </c:pt>
                <c:pt idx="164">
                  <c:v>15367</c:v>
                </c:pt>
                <c:pt idx="165">
                  <c:v>15357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30-45EA-806E-0E972DB1F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616352"/>
        <c:axId val="1228611776"/>
      </c:scatterChart>
      <c:valAx>
        <c:axId val="122861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11776"/>
        <c:crosses val="autoZero"/>
        <c:crossBetween val="midCat"/>
        <c:majorUnit val="5"/>
      </c:valAx>
      <c:valAx>
        <c:axId val="12286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1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390524</xdr:colOff>
      <xdr:row>150</xdr:row>
      <xdr:rowOff>3174</xdr:rowOff>
    </xdr:from>
    <xdr:to>
      <xdr:col>14</xdr:col>
      <xdr:colOff>755650</xdr:colOff>
      <xdr:row>166</xdr:row>
      <xdr:rowOff>120649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63BC85-B3B8-4CF8-9335-F2DD61411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05BB-F35B-471B-9C2A-CC3F60F0D79D}">
  <dimension ref="A1:F6"/>
  <sheetViews>
    <sheetView tabSelected="1" workbookViewId="0">
      <selection sqref="A1:B6"/>
    </sheetView>
  </sheetViews>
  <sheetFormatPr defaultRowHeight="14.5" x14ac:dyDescent="0.35"/>
  <cols>
    <col min="1" max="1" width="17.81640625" bestFit="1" customWidth="1"/>
    <col min="2" max="2" width="13.90625" bestFit="1" customWidth="1"/>
    <col min="5" max="5" width="14.6328125" bestFit="1" customWidth="1"/>
    <col min="7" max="7" width="9.26953125" bestFit="1" customWidth="1"/>
    <col min="8" max="8" width="8.90625" bestFit="1" customWidth="1"/>
    <col min="9" max="9" width="16.81640625" bestFit="1" customWidth="1"/>
  </cols>
  <sheetData>
    <row r="1" spans="1:6" x14ac:dyDescent="0.35">
      <c r="A1" s="8" t="s">
        <v>0</v>
      </c>
      <c r="B1" s="8" t="s">
        <v>21</v>
      </c>
    </row>
    <row r="2" spans="1:6" x14ac:dyDescent="0.35">
      <c r="A2" s="14">
        <v>45285</v>
      </c>
      <c r="B2" s="7">
        <v>15675.138862444899</v>
      </c>
      <c r="E2" t="s">
        <v>5</v>
      </c>
      <c r="F2" s="5">
        <f>AVERAGE(B2:B6)</f>
        <v>15746.58050498024</v>
      </c>
    </row>
    <row r="3" spans="1:6" x14ac:dyDescent="0.35">
      <c r="A3" s="14">
        <v>45286</v>
      </c>
      <c r="B3" s="7">
        <v>15680.580489743301</v>
      </c>
      <c r="E3" t="s">
        <v>6</v>
      </c>
      <c r="F3">
        <f>VAR(B2:B6)</f>
        <v>4003.4528761714523</v>
      </c>
    </row>
    <row r="4" spans="1:6" x14ac:dyDescent="0.35">
      <c r="A4" s="14">
        <v>45287</v>
      </c>
      <c r="B4" s="7">
        <v>15782.6373183369</v>
      </c>
      <c r="E4" t="s">
        <v>7</v>
      </c>
      <c r="F4" s="5">
        <f>MAX(B2:B6)</f>
        <v>15804.834807815099</v>
      </c>
    </row>
    <row r="5" spans="1:6" x14ac:dyDescent="0.35">
      <c r="A5" s="14">
        <v>45288</v>
      </c>
      <c r="B5" s="7">
        <v>15789.711046561</v>
      </c>
      <c r="E5" t="s">
        <v>8</v>
      </c>
      <c r="F5" s="5">
        <f>MIN(B2:B6)</f>
        <v>15675.138862444899</v>
      </c>
    </row>
    <row r="6" spans="1:6" x14ac:dyDescent="0.35">
      <c r="A6" s="14">
        <v>45289</v>
      </c>
      <c r="B6" s="7">
        <v>15804.834807815099</v>
      </c>
      <c r="E6" t="s">
        <v>9</v>
      </c>
      <c r="F6">
        <f>STDEV(B2:B6)</f>
        <v>63.272844697954369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0470-B9B6-42D9-900C-7DFBD75FCCE5}">
  <dimension ref="A1:M96"/>
  <sheetViews>
    <sheetView workbookViewId="0">
      <selection activeCell="F20" sqref="F1:F20"/>
    </sheetView>
  </sheetViews>
  <sheetFormatPr defaultRowHeight="14.5" x14ac:dyDescent="0.35"/>
  <cols>
    <col min="1" max="1" width="10.453125" bestFit="1" customWidth="1"/>
    <col min="9" max="9" width="14.6328125" bestFit="1" customWidth="1"/>
    <col min="11" max="11" width="9.26953125" bestFit="1" customWidth="1"/>
    <col min="12" max="12" width="8.90625" bestFit="1" customWidth="1"/>
    <col min="13" max="13" width="16.81640625" bestFit="1" customWidth="1"/>
  </cols>
  <sheetData>
    <row r="1" spans="1:13" x14ac:dyDescent="0.35">
      <c r="A1" s="8" t="s">
        <v>0</v>
      </c>
      <c r="B1" s="8" t="s">
        <v>14</v>
      </c>
      <c r="C1" s="9" t="s">
        <v>15</v>
      </c>
      <c r="D1" s="9" t="s">
        <v>3</v>
      </c>
      <c r="E1" s="9" t="s">
        <v>4</v>
      </c>
      <c r="F1" s="12" t="s">
        <v>19</v>
      </c>
    </row>
    <row r="2" spans="1:13" x14ac:dyDescent="0.35">
      <c r="A2" s="10">
        <v>44928</v>
      </c>
      <c r="B2" s="11">
        <v>15572</v>
      </c>
      <c r="C2" s="9">
        <v>15689.4760569026</v>
      </c>
      <c r="D2" s="9">
        <v>15659.161842395801</v>
      </c>
      <c r="E2" s="9">
        <v>30.3142145068338</v>
      </c>
      <c r="F2" s="13">
        <f>B2-C2</f>
        <v>-117.47605690260025</v>
      </c>
      <c r="I2" t="s">
        <v>5</v>
      </c>
      <c r="J2" s="5">
        <f>AVERAGE(B2:B20)</f>
        <v>15443.722222222223</v>
      </c>
    </row>
    <row r="3" spans="1:13" x14ac:dyDescent="0.35">
      <c r="A3" s="10">
        <v>44929</v>
      </c>
      <c r="B3" s="11">
        <v>15590</v>
      </c>
      <c r="C3" s="9">
        <v>15657.0824726221</v>
      </c>
      <c r="D3" s="9">
        <v>15625.1361654723</v>
      </c>
      <c r="E3" s="9">
        <v>31.946307149801001</v>
      </c>
      <c r="F3" s="13">
        <f t="shared" ref="F3:F66" si="0">B3-C3</f>
        <v>-67.082472622099885</v>
      </c>
      <c r="I3" t="s">
        <v>6</v>
      </c>
      <c r="J3">
        <f>VAR(B2:B20)</f>
        <v>19292.9183006536</v>
      </c>
    </row>
    <row r="4" spans="1:13" x14ac:dyDescent="0.35">
      <c r="A4" s="10">
        <v>44930</v>
      </c>
      <c r="B4" s="11">
        <v>15615</v>
      </c>
      <c r="C4" s="9">
        <v>15632.7389213716</v>
      </c>
      <c r="D4" s="9">
        <v>15591.1104885488</v>
      </c>
      <c r="E4" s="9">
        <v>41.628432822844999</v>
      </c>
      <c r="F4" s="13">
        <f t="shared" si="0"/>
        <v>-17.738921371599645</v>
      </c>
      <c r="I4" t="s">
        <v>7</v>
      </c>
      <c r="J4" s="5">
        <f>MAX(B2:B20)</f>
        <v>15635</v>
      </c>
    </row>
    <row r="5" spans="1:13" x14ac:dyDescent="0.35">
      <c r="A5" s="10">
        <v>44931</v>
      </c>
      <c r="B5" s="11">
        <v>15610</v>
      </c>
      <c r="C5" s="9">
        <v>15568.3579760087</v>
      </c>
      <c r="D5" s="9">
        <v>15557.0848116253</v>
      </c>
      <c r="E5" s="9">
        <v>11.273164383416001</v>
      </c>
      <c r="F5" s="13">
        <f t="shared" si="0"/>
        <v>41.642023991300448</v>
      </c>
      <c r="I5" t="s">
        <v>8</v>
      </c>
      <c r="J5" s="5">
        <f>MIN(B2:B20)</f>
        <v>15247</v>
      </c>
    </row>
    <row r="6" spans="1:13" x14ac:dyDescent="0.35">
      <c r="A6" s="10">
        <v>44932</v>
      </c>
      <c r="B6" s="11">
        <v>15635</v>
      </c>
      <c r="C6" s="9">
        <v>15540.4989645677</v>
      </c>
      <c r="D6" s="9">
        <v>15523.0591347017</v>
      </c>
      <c r="E6" s="9">
        <v>17.439829865918099</v>
      </c>
      <c r="F6" s="13">
        <f t="shared" si="0"/>
        <v>94.501035432300341</v>
      </c>
      <c r="I6" t="s">
        <v>9</v>
      </c>
      <c r="J6">
        <f>STDEV(B2:B20)</f>
        <v>138.89894996238669</v>
      </c>
    </row>
    <row r="7" spans="1:13" x14ac:dyDescent="0.35">
      <c r="A7" s="10">
        <v>44935</v>
      </c>
      <c r="B7" s="11">
        <v>15574</v>
      </c>
      <c r="C7" s="9">
        <v>15451.296318438101</v>
      </c>
      <c r="D7" s="9">
        <v>15420.982103931199</v>
      </c>
      <c r="E7" s="9">
        <v>30.314214506910499</v>
      </c>
      <c r="F7" s="13">
        <f t="shared" si="0"/>
        <v>122.70368156189943</v>
      </c>
    </row>
    <row r="8" spans="1:13" ht="15.5" x14ac:dyDescent="0.35">
      <c r="A8" s="10">
        <v>44936</v>
      </c>
      <c r="B8" s="11">
        <v>15589</v>
      </c>
      <c r="C8" s="9">
        <v>15418.9027332065</v>
      </c>
      <c r="D8" s="9">
        <v>15386.9564260568</v>
      </c>
      <c r="E8" s="9">
        <v>31.9463071497245</v>
      </c>
      <c r="F8" s="13">
        <f t="shared" si="0"/>
        <v>170.09726679350024</v>
      </c>
      <c r="I8" s="6" t="s">
        <v>5</v>
      </c>
      <c r="J8" s="6" t="s">
        <v>13</v>
      </c>
      <c r="K8" s="6" t="s">
        <v>10</v>
      </c>
      <c r="L8" s="6" t="s">
        <v>11</v>
      </c>
      <c r="M8" s="6" t="s">
        <v>12</v>
      </c>
    </row>
    <row r="9" spans="1:13" ht="15.5" x14ac:dyDescent="0.35">
      <c r="A9" s="10">
        <v>44937</v>
      </c>
      <c r="B9" s="11">
        <v>15527</v>
      </c>
      <c r="C9" s="9">
        <v>15394.559181005199</v>
      </c>
      <c r="D9" s="9">
        <v>15352.9307481823</v>
      </c>
      <c r="E9" s="9">
        <v>41.628432822896002</v>
      </c>
      <c r="F9" s="13">
        <f t="shared" si="0"/>
        <v>132.44081899480079</v>
      </c>
      <c r="I9" s="6" cm="1">
        <f t="array" ref="I9:M9">TRANSPOSE(J2:J6)</f>
        <v>15443.722222222223</v>
      </c>
      <c r="J9" s="6">
        <v>19292.9183006536</v>
      </c>
      <c r="K9" s="6">
        <v>15635</v>
      </c>
      <c r="L9" s="6">
        <v>15247</v>
      </c>
      <c r="M9" s="6">
        <v>138.89894996238669</v>
      </c>
    </row>
    <row r="10" spans="1:13" x14ac:dyDescent="0.35">
      <c r="A10" s="10">
        <v>44938</v>
      </c>
      <c r="B10" s="11">
        <v>15366</v>
      </c>
      <c r="C10" s="9">
        <v>15330.178234691401</v>
      </c>
      <c r="D10" s="9">
        <v>15318.905070307899</v>
      </c>
      <c r="E10" s="9">
        <v>11.273164383493301</v>
      </c>
      <c r="F10" s="13">
        <f t="shared" si="0"/>
        <v>35.821765308599424</v>
      </c>
    </row>
    <row r="11" spans="1:13" x14ac:dyDescent="0.35">
      <c r="A11" s="10" t="s">
        <v>16</v>
      </c>
      <c r="B11" s="11" t="s">
        <v>17</v>
      </c>
      <c r="C11" s="9" t="s">
        <v>18</v>
      </c>
      <c r="D11" s="9" t="s">
        <v>17</v>
      </c>
      <c r="E11" s="9" t="s">
        <v>18</v>
      </c>
      <c r="F11" s="13" t="s">
        <v>20</v>
      </c>
    </row>
    <row r="12" spans="1:13" x14ac:dyDescent="0.35">
      <c r="A12" s="10">
        <v>45173</v>
      </c>
      <c r="B12" s="11">
        <v>15247</v>
      </c>
      <c r="C12" s="9">
        <v>15325.5399295318</v>
      </c>
      <c r="D12" s="9">
        <v>15295.225715024801</v>
      </c>
      <c r="E12" s="9">
        <v>30.314214506936398</v>
      </c>
      <c r="F12" s="13">
        <f t="shared" si="0"/>
        <v>-78.539929531800226</v>
      </c>
    </row>
    <row r="13" spans="1:13" x14ac:dyDescent="0.35">
      <c r="A13" s="10">
        <v>45174</v>
      </c>
      <c r="B13" s="11">
        <v>15260</v>
      </c>
      <c r="C13" s="9">
        <v>15332.613657755601</v>
      </c>
      <c r="D13" s="9">
        <v>15300.6673506059</v>
      </c>
      <c r="E13" s="9">
        <v>31.946307149786001</v>
      </c>
      <c r="F13" s="13">
        <f t="shared" si="0"/>
        <v>-72.613657755600798</v>
      </c>
    </row>
    <row r="14" spans="1:13" x14ac:dyDescent="0.35">
      <c r="A14" s="10">
        <v>45175</v>
      </c>
      <c r="B14" s="11">
        <v>15307</v>
      </c>
      <c r="C14" s="9">
        <v>15347.7374190098</v>
      </c>
      <c r="D14" s="9">
        <v>15306.1089861869</v>
      </c>
      <c r="E14" s="9">
        <v>41.628432822886197</v>
      </c>
      <c r="F14" s="13">
        <f t="shared" si="0"/>
        <v>-40.737419009799851</v>
      </c>
    </row>
    <row r="15" spans="1:13" x14ac:dyDescent="0.35">
      <c r="A15" s="10">
        <v>45176</v>
      </c>
      <c r="B15" s="11">
        <v>15334</v>
      </c>
      <c r="C15" s="9">
        <v>15322.823786151401</v>
      </c>
      <c r="D15" s="9">
        <v>15311.550621767899</v>
      </c>
      <c r="E15" s="9">
        <v>11.273164383484</v>
      </c>
      <c r="F15" s="13">
        <f t="shared" si="0"/>
        <v>11.176213848599218</v>
      </c>
    </row>
    <row r="16" spans="1:13" x14ac:dyDescent="0.35">
      <c r="A16" s="10">
        <v>45177</v>
      </c>
      <c r="B16" s="11">
        <v>15341</v>
      </c>
      <c r="C16" s="9">
        <v>15334.4320872148</v>
      </c>
      <c r="D16" s="9">
        <v>15316.9922573489</v>
      </c>
      <c r="E16" s="9">
        <v>17.4398298659418</v>
      </c>
      <c r="F16" s="13">
        <f t="shared" si="0"/>
        <v>6.567912785199951</v>
      </c>
    </row>
    <row r="17" spans="1:6" x14ac:dyDescent="0.35">
      <c r="A17" s="10">
        <v>45180</v>
      </c>
      <c r="B17" s="11">
        <v>15352</v>
      </c>
      <c r="C17" s="9">
        <v>15363.6313785987</v>
      </c>
      <c r="D17" s="9">
        <v>15333.317164092001</v>
      </c>
      <c r="E17" s="9">
        <v>30.314214506715</v>
      </c>
      <c r="F17" s="13">
        <f t="shared" si="0"/>
        <v>-11.631378598700394</v>
      </c>
    </row>
    <row r="18" spans="1:6" x14ac:dyDescent="0.35">
      <c r="A18" s="10">
        <v>45181</v>
      </c>
      <c r="B18" s="11">
        <v>15344</v>
      </c>
      <c r="C18" s="9">
        <v>15370.705106822799</v>
      </c>
      <c r="D18" s="9">
        <v>15338.758799673</v>
      </c>
      <c r="E18" s="9">
        <v>31.946307149817201</v>
      </c>
      <c r="F18" s="13">
        <f t="shared" si="0"/>
        <v>-26.70510682279928</v>
      </c>
    </row>
    <row r="19" spans="1:6" x14ac:dyDescent="0.35">
      <c r="A19" s="10">
        <v>45182</v>
      </c>
      <c r="B19" s="11">
        <v>15367</v>
      </c>
      <c r="C19" s="9">
        <v>15385.8288680769</v>
      </c>
      <c r="D19" s="9">
        <v>15344.200435254001</v>
      </c>
      <c r="E19" s="9">
        <v>41.628432822872497</v>
      </c>
      <c r="F19" s="13">
        <f t="shared" si="0"/>
        <v>-18.828868076900108</v>
      </c>
    </row>
    <row r="20" spans="1:6" x14ac:dyDescent="0.35">
      <c r="A20" s="10">
        <v>45183</v>
      </c>
      <c r="B20" s="11">
        <v>15357</v>
      </c>
      <c r="C20" s="9">
        <v>15360.915235218399</v>
      </c>
      <c r="D20" s="9">
        <v>15349.642070835</v>
      </c>
      <c r="E20" s="9">
        <v>11.273164383445399</v>
      </c>
      <c r="F20" s="13">
        <f t="shared" si="0"/>
        <v>-3.9152352183991752</v>
      </c>
    </row>
    <row r="21" spans="1:6" x14ac:dyDescent="0.35">
      <c r="C21">
        <v>15372.5235362818</v>
      </c>
      <c r="D21">
        <v>15355.083706416</v>
      </c>
      <c r="E21">
        <v>17.439829865774499</v>
      </c>
      <c r="F21" s="5">
        <f t="shared" si="0"/>
        <v>-15372.5235362818</v>
      </c>
    </row>
    <row r="22" spans="1:6" x14ac:dyDescent="0.35">
      <c r="C22">
        <v>15294.2243717741</v>
      </c>
      <c r="D22">
        <v>15360.525341996999</v>
      </c>
      <c r="E22">
        <v>-66.300970222945296</v>
      </c>
      <c r="F22" s="5">
        <f t="shared" si="0"/>
        <v>-15294.2243717741</v>
      </c>
    </row>
    <row r="23" spans="1:6" x14ac:dyDescent="0.35">
      <c r="C23">
        <v>15299.6659990723</v>
      </c>
      <c r="D23">
        <v>15365.9669775781</v>
      </c>
      <c r="E23">
        <v>-66.300978505791804</v>
      </c>
      <c r="F23" s="5">
        <f t="shared" si="0"/>
        <v>-15299.6659990723</v>
      </c>
    </row>
    <row r="24" spans="1:6" x14ac:dyDescent="0.35">
      <c r="C24">
        <v>15401.722827665901</v>
      </c>
      <c r="D24">
        <v>15371.408613159099</v>
      </c>
      <c r="E24">
        <v>30.3142145067917</v>
      </c>
      <c r="F24" s="5">
        <f t="shared" si="0"/>
        <v>-15401.722827665901</v>
      </c>
    </row>
    <row r="25" spans="1:6" x14ac:dyDescent="0.35">
      <c r="C25">
        <v>15408.7965558899</v>
      </c>
      <c r="D25">
        <v>15376.8502487401</v>
      </c>
      <c r="E25">
        <v>31.946307149848302</v>
      </c>
      <c r="F25" s="5">
        <f t="shared" si="0"/>
        <v>-15408.7965558899</v>
      </c>
    </row>
    <row r="26" spans="1:6" x14ac:dyDescent="0.35">
      <c r="C26">
        <v>15423.920317144</v>
      </c>
      <c r="D26">
        <v>15382.291884321099</v>
      </c>
      <c r="E26">
        <v>41.628432822863303</v>
      </c>
      <c r="F26" s="5">
        <f t="shared" si="0"/>
        <v>-15423.920317144</v>
      </c>
    </row>
    <row r="27" spans="1:6" x14ac:dyDescent="0.35">
      <c r="C27">
        <v>15399.006684285599</v>
      </c>
      <c r="D27">
        <v>15387.7335199021</v>
      </c>
      <c r="E27">
        <v>11.273164383464801</v>
      </c>
      <c r="F27" s="5">
        <f t="shared" si="0"/>
        <v>-15399.006684285599</v>
      </c>
    </row>
    <row r="28" spans="1:6" x14ac:dyDescent="0.35">
      <c r="C28">
        <v>15410.614985349201</v>
      </c>
      <c r="D28">
        <v>15393.175155483101</v>
      </c>
      <c r="E28">
        <v>17.439829866042</v>
      </c>
      <c r="F28" s="5">
        <f t="shared" si="0"/>
        <v>-15410.614985349201</v>
      </c>
    </row>
    <row r="29" spans="1:6" x14ac:dyDescent="0.35">
      <c r="C29">
        <v>15332.315820841101</v>
      </c>
      <c r="D29">
        <v>15398.6167910641</v>
      </c>
      <c r="E29">
        <v>-66.300970223083496</v>
      </c>
      <c r="F29" s="5">
        <f t="shared" si="0"/>
        <v>-15332.315820841101</v>
      </c>
    </row>
    <row r="30" spans="1:6" x14ac:dyDescent="0.35">
      <c r="C30">
        <v>15337.7574481394</v>
      </c>
      <c r="D30">
        <v>15404.058426645201</v>
      </c>
      <c r="E30">
        <v>-66.300978505776698</v>
      </c>
      <c r="F30" s="5">
        <f t="shared" si="0"/>
        <v>-15337.7574481394</v>
      </c>
    </row>
    <row r="31" spans="1:6" x14ac:dyDescent="0.35">
      <c r="C31">
        <v>15439.814276732901</v>
      </c>
      <c r="D31">
        <v>15409.5000622262</v>
      </c>
      <c r="E31">
        <v>30.314214506769201</v>
      </c>
      <c r="F31" s="5">
        <f t="shared" si="0"/>
        <v>-15439.814276732901</v>
      </c>
    </row>
    <row r="32" spans="1:6" x14ac:dyDescent="0.35">
      <c r="C32">
        <v>15446.888004957</v>
      </c>
      <c r="D32">
        <v>15414.9416978072</v>
      </c>
      <c r="E32">
        <v>31.946307149771801</v>
      </c>
      <c r="F32" s="5">
        <f t="shared" si="0"/>
        <v>-15446.888004957</v>
      </c>
    </row>
    <row r="33" spans="3:6" x14ac:dyDescent="0.35">
      <c r="C33">
        <v>15462.011766211101</v>
      </c>
      <c r="D33">
        <v>15420.383333388199</v>
      </c>
      <c r="E33">
        <v>41.628432822912004</v>
      </c>
      <c r="F33" s="5">
        <f t="shared" si="0"/>
        <v>-15462.011766211101</v>
      </c>
    </row>
    <row r="34" spans="3:6" x14ac:dyDescent="0.35">
      <c r="C34">
        <v>15437.0981333527</v>
      </c>
      <c r="D34">
        <v>15425.8249689692</v>
      </c>
      <c r="E34">
        <v>11.273164383484101</v>
      </c>
      <c r="F34" s="5">
        <f t="shared" si="0"/>
        <v>-15437.0981333527</v>
      </c>
    </row>
    <row r="35" spans="3:6" x14ac:dyDescent="0.35">
      <c r="C35">
        <v>15448.706434416201</v>
      </c>
      <c r="D35">
        <v>15431.266604550199</v>
      </c>
      <c r="E35">
        <v>17.4398298659769</v>
      </c>
      <c r="F35" s="5">
        <f t="shared" si="0"/>
        <v>-15448.706434416201</v>
      </c>
    </row>
    <row r="36" spans="3:6" x14ac:dyDescent="0.35">
      <c r="C36">
        <v>15370.407269908301</v>
      </c>
      <c r="D36">
        <v>15436.7082401313</v>
      </c>
      <c r="E36">
        <v>-66.300970222969397</v>
      </c>
      <c r="F36" s="5">
        <f t="shared" si="0"/>
        <v>-15370.407269908301</v>
      </c>
    </row>
    <row r="37" spans="3:6" x14ac:dyDescent="0.35">
      <c r="C37">
        <v>15375.848897206601</v>
      </c>
      <c r="D37">
        <v>15442.149875712301</v>
      </c>
      <c r="E37">
        <v>-66.300978505636394</v>
      </c>
      <c r="F37" s="5">
        <f t="shared" si="0"/>
        <v>-15375.848897206601</v>
      </c>
    </row>
    <row r="38" spans="3:6" x14ac:dyDescent="0.35">
      <c r="C38">
        <v>15477.905725800199</v>
      </c>
      <c r="D38">
        <v>15447.5915112933</v>
      </c>
      <c r="E38">
        <v>30.314214506945198</v>
      </c>
      <c r="F38" s="5">
        <f t="shared" si="0"/>
        <v>-15477.905725800199</v>
      </c>
    </row>
    <row r="39" spans="3:6" x14ac:dyDescent="0.35">
      <c r="C39" t="s">
        <v>2</v>
      </c>
      <c r="D39">
        <v>15453.033146874301</v>
      </c>
      <c r="E39">
        <v>31.946307149802902</v>
      </c>
      <c r="F39" s="5" t="e">
        <f t="shared" si="0"/>
        <v>#VALUE!</v>
      </c>
    </row>
    <row r="40" spans="3:6" x14ac:dyDescent="0.35">
      <c r="C40">
        <v>15185.750337110099</v>
      </c>
      <c r="D40">
        <v>15458.4747824553</v>
      </c>
      <c r="E40">
        <v>41.6284328229005</v>
      </c>
      <c r="F40" s="5">
        <f t="shared" si="0"/>
        <v>-15185.750337110099</v>
      </c>
    </row>
    <row r="41" spans="3:6" x14ac:dyDescent="0.35">
      <c r="C41">
        <v>15186.338011658599</v>
      </c>
      <c r="D41">
        <v>15463.9164180363</v>
      </c>
      <c r="E41">
        <v>11.273164383503399</v>
      </c>
      <c r="F41" s="5">
        <f t="shared" si="0"/>
        <v>-15186.338011658599</v>
      </c>
    </row>
    <row r="42" spans="3:6" x14ac:dyDescent="0.35">
      <c r="C42">
        <v>15186.9256862072</v>
      </c>
      <c r="D42">
        <v>15469.358053617299</v>
      </c>
      <c r="E42">
        <v>17.439829865911801</v>
      </c>
      <c r="F42" s="5">
        <f t="shared" si="0"/>
        <v>-15186.9256862072</v>
      </c>
    </row>
    <row r="43" spans="3:6" x14ac:dyDescent="0.35">
      <c r="C43">
        <v>15187.5133607558</v>
      </c>
      <c r="D43">
        <v>15474.7996891984</v>
      </c>
      <c r="E43">
        <v>-66.300970223107498</v>
      </c>
      <c r="F43" s="5">
        <f t="shared" si="0"/>
        <v>-15187.5133607558</v>
      </c>
    </row>
    <row r="44" spans="3:6" x14ac:dyDescent="0.35">
      <c r="C44">
        <v>15188.1010353044</v>
      </c>
      <c r="D44">
        <v>15480.241324779399</v>
      </c>
      <c r="E44">
        <v>-66.300978505861593</v>
      </c>
      <c r="F44" s="5">
        <f t="shared" si="0"/>
        <v>-15188.1010353044</v>
      </c>
    </row>
    <row r="45" spans="3:6" x14ac:dyDescent="0.35">
      <c r="C45">
        <v>15188.688709852901</v>
      </c>
      <c r="D45">
        <v>15485.6829603604</v>
      </c>
      <c r="E45">
        <v>30.314214506624399</v>
      </c>
      <c r="F45" s="5">
        <f t="shared" si="0"/>
        <v>-15188.688709852901</v>
      </c>
    </row>
    <row r="46" spans="3:6" x14ac:dyDescent="0.35">
      <c r="C46">
        <v>15189.276384401501</v>
      </c>
      <c r="D46">
        <v>15491.124595941399</v>
      </c>
      <c r="E46">
        <v>31.9463071497802</v>
      </c>
      <c r="F46" s="5">
        <f t="shared" si="0"/>
        <v>-15189.276384401501</v>
      </c>
    </row>
    <row r="47" spans="3:6" x14ac:dyDescent="0.35">
      <c r="C47">
        <v>15189.864058950099</v>
      </c>
      <c r="D47">
        <v>15496.5662315224</v>
      </c>
      <c r="E47">
        <v>41.628432822889103</v>
      </c>
      <c r="F47" s="5">
        <f t="shared" si="0"/>
        <v>-15189.864058950099</v>
      </c>
    </row>
    <row r="48" spans="3:6" x14ac:dyDescent="0.35">
      <c r="C48">
        <v>15190.451733498699</v>
      </c>
      <c r="D48">
        <v>15502.007867103401</v>
      </c>
      <c r="E48">
        <v>11.273164383464801</v>
      </c>
      <c r="F48" s="5">
        <f t="shared" si="0"/>
        <v>-15190.451733498699</v>
      </c>
    </row>
    <row r="49" spans="3:6" x14ac:dyDescent="0.35">
      <c r="C49">
        <v>15191.0394080472</v>
      </c>
      <c r="D49">
        <v>15507.4495026845</v>
      </c>
      <c r="E49">
        <v>17.439829866077101</v>
      </c>
      <c r="F49" s="5">
        <f t="shared" si="0"/>
        <v>-15191.0394080472</v>
      </c>
    </row>
    <row r="50" spans="3:6" x14ac:dyDescent="0.35">
      <c r="C50">
        <v>15191.6270825958</v>
      </c>
      <c r="D50">
        <v>15512.891138265501</v>
      </c>
      <c r="E50">
        <v>-66.300970223245599</v>
      </c>
      <c r="F50" s="5">
        <f t="shared" si="0"/>
        <v>-15191.6270825958</v>
      </c>
    </row>
    <row r="51" spans="3:6" x14ac:dyDescent="0.35">
      <c r="C51">
        <v>15192.2147571444</v>
      </c>
      <c r="D51">
        <v>15518.3327738465</v>
      </c>
      <c r="E51">
        <v>-66.300978505846402</v>
      </c>
      <c r="F51" s="5">
        <f t="shared" si="0"/>
        <v>-15192.2147571444</v>
      </c>
    </row>
    <row r="52" spans="3:6" x14ac:dyDescent="0.35">
      <c r="C52">
        <v>15192.802431693</v>
      </c>
      <c r="D52">
        <v>15523.7744094275</v>
      </c>
      <c r="E52">
        <v>30.314214506701202</v>
      </c>
      <c r="F52" s="5">
        <f t="shared" si="0"/>
        <v>-15192.802431693</v>
      </c>
    </row>
    <row r="53" spans="3:6" x14ac:dyDescent="0.35">
      <c r="C53">
        <v>15193.390106241601</v>
      </c>
      <c r="D53">
        <v>15529.216045008499</v>
      </c>
      <c r="E53">
        <v>31.946307149757502</v>
      </c>
      <c r="F53" s="5">
        <f t="shared" si="0"/>
        <v>-15193.390106241601</v>
      </c>
    </row>
    <row r="54" spans="3:6" x14ac:dyDescent="0.35">
      <c r="C54">
        <v>15193.977780790099</v>
      </c>
      <c r="D54">
        <v>15534.6576805895</v>
      </c>
      <c r="E54">
        <v>41.628432822880001</v>
      </c>
      <c r="F54" s="5">
        <f t="shared" si="0"/>
        <v>-15193.977780790099</v>
      </c>
    </row>
    <row r="55" spans="3:6" x14ac:dyDescent="0.35">
      <c r="C55">
        <v>15194.565455338699</v>
      </c>
      <c r="D55">
        <v>15540.099316170599</v>
      </c>
      <c r="E55">
        <v>11.2731643835083</v>
      </c>
      <c r="F55" s="5">
        <f t="shared" si="0"/>
        <v>-15194.565455338699</v>
      </c>
    </row>
    <row r="56" spans="3:6" x14ac:dyDescent="0.35">
      <c r="C56">
        <v>15195.1531298873</v>
      </c>
      <c r="D56">
        <v>15545.5409517516</v>
      </c>
      <c r="E56">
        <v>17.439829866114199</v>
      </c>
      <c r="F56" s="5">
        <f t="shared" si="0"/>
        <v>-15195.1531298873</v>
      </c>
    </row>
    <row r="57" spans="3:6" x14ac:dyDescent="0.35">
      <c r="C57">
        <v>15195.7408044359</v>
      </c>
      <c r="D57">
        <v>15550.982587332601</v>
      </c>
      <c r="E57">
        <v>-66.3009702231315</v>
      </c>
      <c r="F57" s="5">
        <f t="shared" si="0"/>
        <v>-15195.7408044359</v>
      </c>
    </row>
    <row r="58" spans="3:6" x14ac:dyDescent="0.35">
      <c r="C58">
        <v>15196.3284789844</v>
      </c>
      <c r="D58">
        <v>15556.4242229136</v>
      </c>
      <c r="E58">
        <v>-66.300978505831196</v>
      </c>
      <c r="F58" s="5">
        <f t="shared" si="0"/>
        <v>-15196.3284789844</v>
      </c>
    </row>
    <row r="59" spans="3:6" x14ac:dyDescent="0.35">
      <c r="C59">
        <v>15196.916153533</v>
      </c>
      <c r="D59">
        <v>15561.865858494601</v>
      </c>
      <c r="E59">
        <v>30.314214506778001</v>
      </c>
      <c r="F59" s="5">
        <f t="shared" si="0"/>
        <v>-15196.916153533</v>
      </c>
    </row>
    <row r="60" spans="3:6" x14ac:dyDescent="0.35">
      <c r="C60">
        <v>15197.503828081601</v>
      </c>
      <c r="D60">
        <v>15567.3074940756</v>
      </c>
      <c r="E60">
        <v>31.9463071497923</v>
      </c>
      <c r="F60" s="5">
        <f t="shared" si="0"/>
        <v>-15197.503828081601</v>
      </c>
    </row>
    <row r="61" spans="3:6" x14ac:dyDescent="0.35">
      <c r="C61">
        <v>15198.091502630199</v>
      </c>
      <c r="D61">
        <v>15572.7491296566</v>
      </c>
      <c r="E61">
        <v>41.628432822870799</v>
      </c>
      <c r="F61" s="5">
        <f t="shared" si="0"/>
        <v>-15198.091502630199</v>
      </c>
    </row>
    <row r="62" spans="3:6" x14ac:dyDescent="0.35">
      <c r="C62">
        <v>15198.679177178699</v>
      </c>
      <c r="D62">
        <v>15578.190765237699</v>
      </c>
      <c r="E62">
        <v>11.2731643834697</v>
      </c>
      <c r="F62" s="5">
        <f t="shared" si="0"/>
        <v>-15198.679177178699</v>
      </c>
    </row>
    <row r="63" spans="3:6" x14ac:dyDescent="0.35">
      <c r="C63">
        <v>15199.2668517273</v>
      </c>
      <c r="D63">
        <v>15583.6324008187</v>
      </c>
      <c r="E63">
        <v>17.439829866049099</v>
      </c>
      <c r="F63" s="5">
        <f t="shared" si="0"/>
        <v>-15199.2668517273</v>
      </c>
    </row>
    <row r="64" spans="3:6" x14ac:dyDescent="0.35">
      <c r="C64">
        <v>15199.8545262759</v>
      </c>
      <c r="D64">
        <v>15589.074036399699</v>
      </c>
      <c r="E64">
        <v>-66.300970223269601</v>
      </c>
      <c r="F64" s="5">
        <f t="shared" si="0"/>
        <v>-15199.8545262759</v>
      </c>
    </row>
    <row r="65" spans="3:6" x14ac:dyDescent="0.35">
      <c r="C65">
        <v>15200.4422008245</v>
      </c>
      <c r="D65">
        <v>15594.5156719807</v>
      </c>
      <c r="E65">
        <v>-66.300978505691006</v>
      </c>
      <c r="F65" s="5">
        <f t="shared" si="0"/>
        <v>-15200.4422008245</v>
      </c>
    </row>
    <row r="66" spans="3:6" x14ac:dyDescent="0.35">
      <c r="C66">
        <v>15201.0298753731</v>
      </c>
      <c r="D66">
        <v>15599.957307561701</v>
      </c>
      <c r="E66">
        <v>30.3142145068547</v>
      </c>
      <c r="F66" s="5">
        <f t="shared" si="0"/>
        <v>-15201.0298753731</v>
      </c>
    </row>
    <row r="67" spans="3:6" x14ac:dyDescent="0.35">
      <c r="C67">
        <v>15201.617549921601</v>
      </c>
      <c r="D67">
        <v>15605.3989431427</v>
      </c>
      <c r="E67">
        <v>31.9463071498235</v>
      </c>
      <c r="F67" s="5">
        <f t="shared" ref="F67:F96" si="1">B67-C67</f>
        <v>-15201.617549921601</v>
      </c>
    </row>
    <row r="68" spans="3:6" x14ac:dyDescent="0.35">
      <c r="C68">
        <v>15202.205224470201</v>
      </c>
      <c r="D68">
        <v>15610.840578723801</v>
      </c>
      <c r="E68">
        <v>41.6284328228571</v>
      </c>
      <c r="F68" s="5">
        <f t="shared" si="1"/>
        <v>-15202.205224470201</v>
      </c>
    </row>
    <row r="69" spans="3:6" x14ac:dyDescent="0.35">
      <c r="C69">
        <v>15202.792899018799</v>
      </c>
      <c r="D69">
        <v>15616.2822143048</v>
      </c>
      <c r="E69">
        <v>11.273164383489</v>
      </c>
      <c r="F69" s="5">
        <f t="shared" si="1"/>
        <v>-15202.792899018799</v>
      </c>
    </row>
    <row r="70" spans="3:6" x14ac:dyDescent="0.35">
      <c r="C70">
        <v>15203.3805735674</v>
      </c>
      <c r="D70">
        <v>15621.723849885801</v>
      </c>
      <c r="E70">
        <v>17.439829865983999</v>
      </c>
      <c r="F70" s="5">
        <f t="shared" si="1"/>
        <v>-15203.3805735674</v>
      </c>
    </row>
    <row r="71" spans="3:6" x14ac:dyDescent="0.35">
      <c r="C71">
        <v>15203.9682481159</v>
      </c>
      <c r="D71">
        <v>15627.1654854668</v>
      </c>
      <c r="E71">
        <v>-66.300970223057405</v>
      </c>
      <c r="F71" s="5">
        <f t="shared" si="1"/>
        <v>-15203.9682481159</v>
      </c>
    </row>
    <row r="72" spans="3:6" x14ac:dyDescent="0.35">
      <c r="C72">
        <v>15204.5559226645</v>
      </c>
      <c r="D72">
        <v>15632.6071210478</v>
      </c>
      <c r="E72">
        <v>-66.300978506041204</v>
      </c>
      <c r="F72" s="5">
        <f t="shared" si="1"/>
        <v>-15204.5559226645</v>
      </c>
    </row>
    <row r="73" spans="3:6" x14ac:dyDescent="0.35">
      <c r="C73">
        <v>15205.1435972131</v>
      </c>
      <c r="D73">
        <v>15638.048756628799</v>
      </c>
      <c r="E73">
        <v>30.314214506832201</v>
      </c>
      <c r="F73" s="5">
        <f t="shared" si="1"/>
        <v>-15205.1435972131</v>
      </c>
    </row>
    <row r="74" spans="3:6" x14ac:dyDescent="0.35">
      <c r="C74">
        <v>15205.731271761701</v>
      </c>
      <c r="D74">
        <v>15643.4903922099</v>
      </c>
      <c r="E74">
        <v>31.9463071497469</v>
      </c>
      <c r="F74" s="5">
        <f t="shared" si="1"/>
        <v>-15205.731271761701</v>
      </c>
    </row>
    <row r="75" spans="3:6" x14ac:dyDescent="0.35">
      <c r="C75">
        <v>15206.318946310201</v>
      </c>
      <c r="D75">
        <v>15648.932027790899</v>
      </c>
      <c r="E75">
        <v>41.628432822847898</v>
      </c>
      <c r="F75" s="5">
        <f t="shared" si="1"/>
        <v>-15206.318946310201</v>
      </c>
    </row>
    <row r="76" spans="3:6" x14ac:dyDescent="0.35">
      <c r="C76">
        <v>15206.906620858799</v>
      </c>
      <c r="D76">
        <v>15654.3736633719</v>
      </c>
      <c r="E76">
        <v>11.2731643834745</v>
      </c>
      <c r="F76" s="5">
        <f t="shared" si="1"/>
        <v>-15206.906620858799</v>
      </c>
    </row>
    <row r="77" spans="3:6" x14ac:dyDescent="0.35">
      <c r="C77">
        <v>15207.494295407399</v>
      </c>
      <c r="D77">
        <v>15659.815298952901</v>
      </c>
      <c r="E77">
        <v>17.439829865918899</v>
      </c>
      <c r="F77" s="5">
        <f t="shared" si="1"/>
        <v>-15207.494295407399</v>
      </c>
    </row>
    <row r="78" spans="3:6" x14ac:dyDescent="0.35">
      <c r="C78">
        <v>15208.081969956</v>
      </c>
      <c r="D78">
        <v>15665.2569345339</v>
      </c>
      <c r="E78">
        <v>-66.300970223195506</v>
      </c>
      <c r="F78" s="5">
        <f t="shared" si="1"/>
        <v>-15208.081969956</v>
      </c>
    </row>
    <row r="79" spans="3:6" x14ac:dyDescent="0.35">
      <c r="C79">
        <v>15208.6696445046</v>
      </c>
      <c r="D79">
        <v>15670.698570114901</v>
      </c>
      <c r="E79">
        <v>-66.300978505901</v>
      </c>
      <c r="F79" s="5">
        <f t="shared" si="1"/>
        <v>-15208.6696445046</v>
      </c>
    </row>
    <row r="80" spans="3:6" x14ac:dyDescent="0.35">
      <c r="C80">
        <v>15209.2573190531</v>
      </c>
      <c r="D80">
        <v>15676.140205696</v>
      </c>
      <c r="E80">
        <v>30.3142145069089</v>
      </c>
      <c r="F80" s="5">
        <f t="shared" si="1"/>
        <v>-15209.2573190531</v>
      </c>
    </row>
    <row r="81" spans="3:6" x14ac:dyDescent="0.35">
      <c r="C81">
        <v>15209.8449936017</v>
      </c>
      <c r="D81">
        <v>15681.581841277</v>
      </c>
      <c r="E81">
        <v>31.946307149778001</v>
      </c>
      <c r="F81" s="5">
        <f t="shared" si="1"/>
        <v>-15209.8449936017</v>
      </c>
    </row>
    <row r="82" spans="3:6" x14ac:dyDescent="0.35">
      <c r="C82">
        <v>15210.432668150301</v>
      </c>
      <c r="D82">
        <v>15687.023476857999</v>
      </c>
      <c r="E82">
        <v>41.628432822896599</v>
      </c>
      <c r="F82" s="5">
        <f t="shared" si="1"/>
        <v>-15210.432668150301</v>
      </c>
    </row>
    <row r="83" spans="3:6" x14ac:dyDescent="0.35">
      <c r="C83">
        <v>15211.020342698899</v>
      </c>
      <c r="D83">
        <v>15692.465112439</v>
      </c>
      <c r="E83">
        <v>11.2731643834938</v>
      </c>
      <c r="F83" s="5">
        <f t="shared" si="1"/>
        <v>-15211.020342698899</v>
      </c>
    </row>
    <row r="84" spans="3:6" x14ac:dyDescent="0.35">
      <c r="C84">
        <v>15211.608017247399</v>
      </c>
      <c r="D84">
        <v>15697.906748019999</v>
      </c>
      <c r="E84">
        <v>17.439829865956</v>
      </c>
      <c r="F84" s="5">
        <f t="shared" si="1"/>
        <v>-15211.608017247399</v>
      </c>
    </row>
    <row r="85" spans="3:6" x14ac:dyDescent="0.35">
      <c r="C85">
        <v>15212.195691796</v>
      </c>
      <c r="D85">
        <v>15703.348383601</v>
      </c>
      <c r="E85">
        <v>-66.300970223081407</v>
      </c>
      <c r="F85" s="5">
        <f t="shared" si="1"/>
        <v>-15212.195691796</v>
      </c>
    </row>
    <row r="86" spans="3:6" x14ac:dyDescent="0.35">
      <c r="C86">
        <v>15212.7833663446</v>
      </c>
      <c r="D86">
        <v>15708.790019182001</v>
      </c>
      <c r="E86">
        <v>-66.300978505760696</v>
      </c>
      <c r="F86" s="5">
        <f t="shared" si="1"/>
        <v>-15212.7833663446</v>
      </c>
    </row>
    <row r="87" spans="3:6" x14ac:dyDescent="0.35">
      <c r="C87">
        <v>15213.3710408932</v>
      </c>
      <c r="D87">
        <v>15714.2316547631</v>
      </c>
      <c r="E87">
        <v>30.314214506687399</v>
      </c>
      <c r="F87" s="5">
        <f t="shared" si="1"/>
        <v>-15213.3710408932</v>
      </c>
    </row>
    <row r="88" spans="3:6" x14ac:dyDescent="0.35">
      <c r="C88">
        <v>15213.9587154417</v>
      </c>
      <c r="D88">
        <v>15719.673290344101</v>
      </c>
      <c r="E88">
        <v>31.946307149755299</v>
      </c>
      <c r="F88" s="5">
        <f t="shared" si="1"/>
        <v>-15213.9587154417</v>
      </c>
    </row>
    <row r="89" spans="3:6" x14ac:dyDescent="0.35">
      <c r="C89">
        <v>15214.546389990301</v>
      </c>
      <c r="D89">
        <v>15725.1149259251</v>
      </c>
      <c r="E89">
        <v>41.628432822885202</v>
      </c>
      <c r="F89" s="5">
        <f t="shared" si="1"/>
        <v>-15214.546389990301</v>
      </c>
    </row>
    <row r="90" spans="3:6" x14ac:dyDescent="0.35">
      <c r="C90">
        <v>15215.134064538899</v>
      </c>
      <c r="D90">
        <v>15730.5565615061</v>
      </c>
      <c r="E90">
        <v>11.2731643834552</v>
      </c>
      <c r="F90" s="5">
        <f t="shared" si="1"/>
        <v>-15215.134064538899</v>
      </c>
    </row>
    <row r="91" spans="3:6" x14ac:dyDescent="0.35">
      <c r="C91">
        <v>15215.721739087499</v>
      </c>
      <c r="D91">
        <v>15735.998197087099</v>
      </c>
      <c r="E91">
        <v>17.439829865788798</v>
      </c>
      <c r="F91" s="5">
        <f t="shared" si="1"/>
        <v>-15215.721739087499</v>
      </c>
    </row>
    <row r="92" spans="3:6" x14ac:dyDescent="0.35">
      <c r="C92">
        <v>15216.3094136361</v>
      </c>
      <c r="D92">
        <v>15741.4398326681</v>
      </c>
      <c r="E92">
        <v>-66.300970223219593</v>
      </c>
      <c r="F92" s="5">
        <f t="shared" si="1"/>
        <v>-15216.3094136361</v>
      </c>
    </row>
    <row r="93" spans="3:6" x14ac:dyDescent="0.35">
      <c r="C93">
        <v>15216.8970881846</v>
      </c>
      <c r="D93">
        <v>15746.881468249199</v>
      </c>
      <c r="E93">
        <v>-66.300978505870702</v>
      </c>
      <c r="F93" s="5">
        <f t="shared" si="1"/>
        <v>-15216.8970881846</v>
      </c>
    </row>
    <row r="94" spans="3:6" x14ac:dyDescent="0.35">
      <c r="C94">
        <v>15217.4847627332</v>
      </c>
      <c r="D94">
        <v>15752.3231038302</v>
      </c>
      <c r="E94">
        <v>30.314214506764198</v>
      </c>
      <c r="F94" s="5">
        <f t="shared" si="1"/>
        <v>-15217.4847627332</v>
      </c>
    </row>
    <row r="95" spans="3:6" x14ac:dyDescent="0.35">
      <c r="C95">
        <v>15218.0724372818</v>
      </c>
      <c r="D95">
        <v>15757.764739411199</v>
      </c>
      <c r="E95">
        <v>31.946307149786499</v>
      </c>
      <c r="F95" s="5">
        <f t="shared" si="1"/>
        <v>-15218.0724372818</v>
      </c>
    </row>
    <row r="96" spans="3:6" x14ac:dyDescent="0.35">
      <c r="C96">
        <v>15218.660111830401</v>
      </c>
      <c r="D96">
        <v>15763.2063749922</v>
      </c>
      <c r="E96">
        <v>41.628432822873798</v>
      </c>
      <c r="F96" s="5">
        <f t="shared" si="1"/>
        <v>-15218.660111830401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4E54-6072-4094-AC59-25BB5B3BEF5F}">
  <dimension ref="A1:O243"/>
  <sheetViews>
    <sheetView topLeftCell="A148" workbookViewId="0">
      <selection sqref="A1:A167"/>
    </sheetView>
  </sheetViews>
  <sheetFormatPr defaultRowHeight="14.5" x14ac:dyDescent="0.35"/>
  <cols>
    <col min="1" max="1" width="10.453125" bestFit="1" customWidth="1"/>
    <col min="4" max="4" width="17.81640625" bestFit="1" customWidth="1"/>
    <col min="11" max="11" width="14.6328125" bestFit="1" customWidth="1"/>
    <col min="13" max="13" width="9.26953125" bestFit="1" customWidth="1"/>
    <col min="14" max="14" width="8.90625" bestFit="1" customWidth="1"/>
    <col min="15" max="15" width="16.81640625" bestFit="1" customWidth="1"/>
  </cols>
  <sheetData>
    <row r="1" spans="1:15" x14ac:dyDescent="0.35">
      <c r="A1" s="1" t="s">
        <v>0</v>
      </c>
      <c r="B1" s="1" t="s">
        <v>1</v>
      </c>
      <c r="D1" t="s">
        <v>0</v>
      </c>
      <c r="E1" t="s">
        <v>2</v>
      </c>
      <c r="F1" t="s">
        <v>3</v>
      </c>
      <c r="G1" t="s">
        <v>4</v>
      </c>
    </row>
    <row r="2" spans="1:15" x14ac:dyDescent="0.35">
      <c r="A2" s="2">
        <v>44928</v>
      </c>
      <c r="B2" s="3">
        <v>15572</v>
      </c>
      <c r="D2" s="4">
        <v>44928</v>
      </c>
      <c r="E2">
        <v>15689.4760569026</v>
      </c>
      <c r="F2">
        <v>15659.161842395801</v>
      </c>
      <c r="G2">
        <v>30.3142145068338</v>
      </c>
      <c r="K2" t="s">
        <v>5</v>
      </c>
      <c r="L2" s="5">
        <f>AVERAGE(B2:B167)</f>
        <v>15102.62048192771</v>
      </c>
    </row>
    <row r="3" spans="1:15" x14ac:dyDescent="0.35">
      <c r="A3" s="2">
        <v>44929</v>
      </c>
      <c r="B3" s="3">
        <v>15590</v>
      </c>
      <c r="D3" s="4">
        <v>44929</v>
      </c>
      <c r="E3">
        <v>15657.0824726221</v>
      </c>
      <c r="F3">
        <v>15625.1361654723</v>
      </c>
      <c r="G3">
        <v>31.946307149801001</v>
      </c>
      <c r="K3" t="s">
        <v>6</v>
      </c>
      <c r="L3">
        <f>VAR(B2:B167)</f>
        <v>49378.77024461484</v>
      </c>
    </row>
    <row r="4" spans="1:15" x14ac:dyDescent="0.35">
      <c r="A4" s="2">
        <v>44930</v>
      </c>
      <c r="B4" s="3">
        <v>15615</v>
      </c>
      <c r="D4" s="4">
        <v>44930</v>
      </c>
      <c r="E4">
        <v>15632.7389213716</v>
      </c>
      <c r="F4">
        <v>15591.1104885488</v>
      </c>
      <c r="G4">
        <v>41.628432822844999</v>
      </c>
      <c r="K4" t="s">
        <v>7</v>
      </c>
      <c r="L4" s="5">
        <f>MAX(B2:B167)</f>
        <v>15635</v>
      </c>
    </row>
    <row r="5" spans="1:15" x14ac:dyDescent="0.35">
      <c r="A5" s="2">
        <v>44931</v>
      </c>
      <c r="B5" s="3">
        <v>15610</v>
      </c>
      <c r="D5" s="4">
        <v>44931</v>
      </c>
      <c r="E5">
        <v>15568.3579760087</v>
      </c>
      <c r="F5">
        <v>15557.0848116253</v>
      </c>
      <c r="G5">
        <v>11.273164383416001</v>
      </c>
      <c r="K5" t="s">
        <v>8</v>
      </c>
      <c r="L5" s="5">
        <f>MIN(B2:B167)</f>
        <v>14632</v>
      </c>
    </row>
    <row r="6" spans="1:15" x14ac:dyDescent="0.35">
      <c r="A6" s="2">
        <v>44932</v>
      </c>
      <c r="B6" s="3">
        <v>15635</v>
      </c>
      <c r="D6" s="4">
        <v>44932</v>
      </c>
      <c r="E6">
        <v>15540.4989645677</v>
      </c>
      <c r="F6">
        <v>15523.0591347017</v>
      </c>
      <c r="G6">
        <v>17.439829865918099</v>
      </c>
      <c r="K6" t="s">
        <v>9</v>
      </c>
      <c r="L6">
        <f>STDEV(B2:B167)</f>
        <v>222.21334398414251</v>
      </c>
    </row>
    <row r="7" spans="1:15" x14ac:dyDescent="0.35">
      <c r="A7" s="2">
        <v>44935</v>
      </c>
      <c r="B7" s="3">
        <v>15574</v>
      </c>
      <c r="D7" s="4">
        <v>44935</v>
      </c>
      <c r="E7">
        <v>15451.296318438101</v>
      </c>
      <c r="F7">
        <v>15420.982103931199</v>
      </c>
      <c r="G7">
        <v>30.314214506910499</v>
      </c>
    </row>
    <row r="8" spans="1:15" ht="15.5" x14ac:dyDescent="0.35">
      <c r="A8" s="2">
        <v>44936</v>
      </c>
      <c r="B8" s="3">
        <v>15589</v>
      </c>
      <c r="D8" s="4">
        <v>44936</v>
      </c>
      <c r="E8">
        <v>15418.9027332065</v>
      </c>
      <c r="F8">
        <v>15386.9564260568</v>
      </c>
      <c r="G8">
        <v>31.9463071497245</v>
      </c>
      <c r="K8" s="6" t="s">
        <v>5</v>
      </c>
      <c r="L8" s="6" t="s">
        <v>13</v>
      </c>
      <c r="M8" s="6" t="s">
        <v>10</v>
      </c>
      <c r="N8" s="6" t="s">
        <v>11</v>
      </c>
      <c r="O8" s="6" t="s">
        <v>12</v>
      </c>
    </row>
    <row r="9" spans="1:15" ht="15.5" x14ac:dyDescent="0.35">
      <c r="A9" s="2">
        <v>44937</v>
      </c>
      <c r="B9" s="3">
        <v>15527</v>
      </c>
      <c r="D9" s="4">
        <v>44937</v>
      </c>
      <c r="E9">
        <v>15394.559181005199</v>
      </c>
      <c r="F9">
        <v>15352.9307481823</v>
      </c>
      <c r="G9">
        <v>41.628432822896002</v>
      </c>
      <c r="K9" s="6" cm="1">
        <f t="array" ref="K9:O9">TRANSPOSE(L2:L6)</f>
        <v>15102.62048192771</v>
      </c>
      <c r="L9" s="6">
        <v>49378.77024461484</v>
      </c>
      <c r="M9" s="6">
        <v>15635</v>
      </c>
      <c r="N9" s="6">
        <v>14632</v>
      </c>
      <c r="O9" s="6">
        <v>222.21334398414251</v>
      </c>
    </row>
    <row r="10" spans="1:15" x14ac:dyDescent="0.35">
      <c r="A10" s="2">
        <v>44938</v>
      </c>
      <c r="B10" s="3">
        <v>15366</v>
      </c>
      <c r="D10" s="4">
        <v>44938</v>
      </c>
      <c r="E10">
        <v>15330.178234691401</v>
      </c>
      <c r="F10">
        <v>15318.905070307899</v>
      </c>
      <c r="G10">
        <v>11.273164383493301</v>
      </c>
    </row>
    <row r="11" spans="1:15" x14ac:dyDescent="0.35">
      <c r="A11" s="2">
        <v>44939</v>
      </c>
      <c r="B11" s="3">
        <v>15177</v>
      </c>
      <c r="D11" s="4">
        <v>44939</v>
      </c>
      <c r="E11">
        <v>15302.3192222994</v>
      </c>
      <c r="F11">
        <v>15284.8793924335</v>
      </c>
      <c r="G11">
        <v>17.4398298659552</v>
      </c>
    </row>
    <row r="12" spans="1:15" x14ac:dyDescent="0.35">
      <c r="A12" s="2">
        <v>44942</v>
      </c>
      <c r="B12" s="3">
        <v>15019</v>
      </c>
      <c r="D12" s="4">
        <v>44942</v>
      </c>
      <c r="E12">
        <v>15213.1165733168</v>
      </c>
      <c r="F12">
        <v>15182.802358810201</v>
      </c>
      <c r="G12">
        <v>30.314214506589799</v>
      </c>
    </row>
    <row r="13" spans="1:15" x14ac:dyDescent="0.35">
      <c r="A13" s="2">
        <v>44943</v>
      </c>
      <c r="B13" s="3">
        <v>15154</v>
      </c>
      <c r="D13" s="4">
        <v>44943</v>
      </c>
      <c r="E13">
        <v>15187.586025503901</v>
      </c>
      <c r="F13">
        <v>15155.639718354199</v>
      </c>
      <c r="G13">
        <v>31.946307149755601</v>
      </c>
    </row>
    <row r="14" spans="1:15" x14ac:dyDescent="0.35">
      <c r="A14" s="2">
        <v>44944</v>
      </c>
      <c r="B14" s="3">
        <v>15137</v>
      </c>
      <c r="D14" s="4">
        <v>44944</v>
      </c>
      <c r="E14">
        <v>15170.105510721</v>
      </c>
      <c r="F14">
        <v>15128.4770778981</v>
      </c>
      <c r="G14">
        <v>41.628432822884598</v>
      </c>
    </row>
    <row r="15" spans="1:15" x14ac:dyDescent="0.35">
      <c r="A15" s="2">
        <v>44945</v>
      </c>
      <c r="B15" s="3">
        <v>15113</v>
      </c>
      <c r="D15" s="4">
        <v>44945</v>
      </c>
      <c r="E15">
        <v>15112.5876018256</v>
      </c>
      <c r="F15">
        <v>15101.314437442101</v>
      </c>
      <c r="G15">
        <v>11.273164383454599</v>
      </c>
    </row>
    <row r="16" spans="1:15" x14ac:dyDescent="0.35">
      <c r="A16" s="2">
        <v>44946</v>
      </c>
      <c r="B16" s="3">
        <v>15121</v>
      </c>
      <c r="D16" s="4">
        <v>44946</v>
      </c>
      <c r="E16">
        <v>15091.591626852</v>
      </c>
      <c r="F16">
        <v>15074.1517969861</v>
      </c>
      <c r="G16">
        <v>17.439829865890101</v>
      </c>
    </row>
    <row r="17" spans="1:7" x14ac:dyDescent="0.35">
      <c r="A17" s="2">
        <v>44950</v>
      </c>
      <c r="B17" s="3">
        <v>14930</v>
      </c>
      <c r="D17" s="4">
        <v>44950</v>
      </c>
      <c r="E17">
        <v>14997.4475423119</v>
      </c>
      <c r="F17">
        <v>14965.501235162101</v>
      </c>
      <c r="G17">
        <v>31.946307149786701</v>
      </c>
    </row>
    <row r="18" spans="1:7" x14ac:dyDescent="0.35">
      <c r="A18" s="2">
        <v>44951</v>
      </c>
      <c r="B18" s="3">
        <v>14958</v>
      </c>
      <c r="D18" s="4">
        <v>44951</v>
      </c>
      <c r="E18">
        <v>14979.967027528999</v>
      </c>
      <c r="F18">
        <v>14938.3385947061</v>
      </c>
      <c r="G18">
        <v>41.628432822873101</v>
      </c>
    </row>
    <row r="19" spans="1:7" x14ac:dyDescent="0.35">
      <c r="A19" s="2">
        <v>44952</v>
      </c>
      <c r="B19" s="3">
        <v>14964</v>
      </c>
      <c r="D19" s="4">
        <v>44952</v>
      </c>
      <c r="E19">
        <v>14953.7563662381</v>
      </c>
      <c r="F19">
        <v>14942.4832018546</v>
      </c>
      <c r="G19">
        <v>11.273164383474001</v>
      </c>
    </row>
    <row r="20" spans="1:7" x14ac:dyDescent="0.35">
      <c r="A20" s="2">
        <v>44953</v>
      </c>
      <c r="B20" s="3">
        <v>14978</v>
      </c>
      <c r="D20" s="4">
        <v>44953</v>
      </c>
      <c r="E20">
        <v>14964.067638869201</v>
      </c>
      <c r="F20">
        <v>14946.627809003099</v>
      </c>
      <c r="G20">
        <v>17.439829866055401</v>
      </c>
    </row>
    <row r="21" spans="1:7" x14ac:dyDescent="0.35">
      <c r="A21" s="2">
        <v>44956</v>
      </c>
      <c r="B21" s="3">
        <v>14979</v>
      </c>
      <c r="D21" s="4">
        <v>44956</v>
      </c>
      <c r="E21">
        <v>14989.375844955401</v>
      </c>
      <c r="F21">
        <v>14959.061630448699</v>
      </c>
      <c r="G21">
        <v>30.314214506743301</v>
      </c>
    </row>
    <row r="22" spans="1:7" x14ac:dyDescent="0.35">
      <c r="A22" s="2">
        <v>44957</v>
      </c>
      <c r="B22" s="3">
        <v>14992</v>
      </c>
      <c r="D22" s="4">
        <v>44957</v>
      </c>
      <c r="E22">
        <v>14995.152544746899</v>
      </c>
      <c r="F22">
        <v>14963.2062375972</v>
      </c>
      <c r="G22">
        <v>31.946307149710201</v>
      </c>
    </row>
    <row r="23" spans="1:7" x14ac:dyDescent="0.35">
      <c r="A23" s="2">
        <v>44958</v>
      </c>
      <c r="B23" s="3">
        <v>14991</v>
      </c>
      <c r="D23" s="4">
        <v>44958</v>
      </c>
      <c r="E23">
        <v>15008.9792775686</v>
      </c>
      <c r="F23">
        <v>14967.350844745701</v>
      </c>
      <c r="G23">
        <v>41.628432822921802</v>
      </c>
    </row>
    <row r="24" spans="1:7" x14ac:dyDescent="0.35">
      <c r="A24" s="2">
        <v>44959</v>
      </c>
      <c r="B24" s="3">
        <v>14868</v>
      </c>
      <c r="D24" s="4">
        <v>44959</v>
      </c>
      <c r="E24">
        <v>14989.552477695501</v>
      </c>
      <c r="F24">
        <v>14978.279313311999</v>
      </c>
      <c r="G24">
        <v>11.273164383493301</v>
      </c>
    </row>
    <row r="25" spans="1:7" x14ac:dyDescent="0.35">
      <c r="A25" s="2">
        <v>44960</v>
      </c>
      <c r="B25" s="3">
        <v>14898</v>
      </c>
      <c r="D25" s="4">
        <v>44960</v>
      </c>
      <c r="E25">
        <v>15006.6476117443</v>
      </c>
      <c r="F25">
        <v>14989.2077818784</v>
      </c>
      <c r="G25">
        <v>17.439829865990301</v>
      </c>
    </row>
    <row r="26" spans="1:7" x14ac:dyDescent="0.35">
      <c r="A26" s="2">
        <v>44963</v>
      </c>
      <c r="B26" s="3">
        <v>15055</v>
      </c>
      <c r="D26" s="4">
        <v>44963</v>
      </c>
      <c r="E26">
        <v>15052.3074020842</v>
      </c>
      <c r="F26">
        <v>15021.9931875774</v>
      </c>
      <c r="G26">
        <v>30.314214506820001</v>
      </c>
    </row>
    <row r="27" spans="1:7" x14ac:dyDescent="0.35">
      <c r="A27" s="2">
        <v>44964</v>
      </c>
      <c r="B27" s="3">
        <v>15139</v>
      </c>
      <c r="D27" s="4">
        <v>44964</v>
      </c>
      <c r="E27">
        <v>15064.8679632935</v>
      </c>
      <c r="F27">
        <v>15032.921656143701</v>
      </c>
      <c r="G27">
        <v>31.946307149798901</v>
      </c>
    </row>
    <row r="28" spans="1:7" x14ac:dyDescent="0.35">
      <c r="A28" s="2">
        <v>44965</v>
      </c>
      <c r="B28" s="3">
        <v>15122</v>
      </c>
      <c r="D28" s="4">
        <v>44965</v>
      </c>
      <c r="E28">
        <v>15085.478557533001</v>
      </c>
      <c r="F28">
        <v>15043.850124709999</v>
      </c>
      <c r="G28">
        <v>41.6284328229127</v>
      </c>
    </row>
    <row r="29" spans="1:7" x14ac:dyDescent="0.35">
      <c r="A29" s="2">
        <v>44966</v>
      </c>
      <c r="B29" s="3">
        <v>15120</v>
      </c>
      <c r="D29" s="4">
        <v>44966</v>
      </c>
      <c r="E29">
        <v>15066.051756344699</v>
      </c>
      <c r="F29">
        <v>15054.7785919612</v>
      </c>
      <c r="G29">
        <v>11.273164383512601</v>
      </c>
    </row>
    <row r="30" spans="1:7" x14ac:dyDescent="0.35">
      <c r="A30" s="2">
        <v>44967</v>
      </c>
      <c r="B30" s="3">
        <v>15140</v>
      </c>
      <c r="D30" s="4">
        <v>44967</v>
      </c>
      <c r="E30">
        <v>15083.1468890783</v>
      </c>
      <c r="F30">
        <v>15065.7070592123</v>
      </c>
      <c r="G30">
        <v>17.439829866027299</v>
      </c>
    </row>
    <row r="31" spans="1:7" x14ac:dyDescent="0.35">
      <c r="A31" s="2">
        <v>44970</v>
      </c>
      <c r="B31" s="3">
        <v>15216</v>
      </c>
      <c r="D31" s="4">
        <v>44970</v>
      </c>
      <c r="E31">
        <v>15128.806675472501</v>
      </c>
      <c r="F31">
        <v>15098.492460965599</v>
      </c>
      <c r="G31">
        <v>30.3142145068968</v>
      </c>
    </row>
    <row r="32" spans="1:7" x14ac:dyDescent="0.35">
      <c r="A32" s="2">
        <v>44971</v>
      </c>
      <c r="B32" s="3">
        <v>15168</v>
      </c>
      <c r="D32" s="4">
        <v>44971</v>
      </c>
      <c r="E32">
        <v>15141.367235366501</v>
      </c>
      <c r="F32">
        <v>15109.420928216699</v>
      </c>
      <c r="G32">
        <v>31.946307149776199</v>
      </c>
    </row>
    <row r="33" spans="1:7" x14ac:dyDescent="0.35">
      <c r="A33" s="2">
        <v>44972</v>
      </c>
      <c r="B33" s="3">
        <v>15194</v>
      </c>
      <c r="D33" s="4">
        <v>44972</v>
      </c>
      <c r="E33">
        <v>15161.977828290799</v>
      </c>
      <c r="F33">
        <v>15120.3493954679</v>
      </c>
      <c r="G33">
        <v>41.628432822899001</v>
      </c>
    </row>
    <row r="34" spans="1:7" x14ac:dyDescent="0.35">
      <c r="A34" s="2">
        <v>44973</v>
      </c>
      <c r="B34" s="3">
        <v>15176</v>
      </c>
      <c r="D34" s="4">
        <v>44973</v>
      </c>
      <c r="E34">
        <v>15142.4963200292</v>
      </c>
      <c r="F34">
        <v>15131.223155645701</v>
      </c>
      <c r="G34">
        <v>11.273164383474001</v>
      </c>
    </row>
    <row r="35" spans="1:7" x14ac:dyDescent="0.35">
      <c r="A35" s="2">
        <v>44974</v>
      </c>
      <c r="B35" s="3">
        <v>15199</v>
      </c>
      <c r="D35" s="4">
        <v>44974</v>
      </c>
      <c r="E35">
        <v>15159.5367456894</v>
      </c>
      <c r="F35">
        <v>15142.0969158236</v>
      </c>
      <c r="G35">
        <v>17.439829865860101</v>
      </c>
    </row>
    <row r="36" spans="1:7" x14ac:dyDescent="0.35">
      <c r="A36" s="2">
        <v>44977</v>
      </c>
      <c r="B36" s="3">
        <v>15168</v>
      </c>
      <c r="D36" s="4">
        <v>44977</v>
      </c>
      <c r="E36">
        <v>15205.0324108641</v>
      </c>
      <c r="F36">
        <v>15174.7181963571</v>
      </c>
      <c r="G36">
        <v>30.314214506973499</v>
      </c>
    </row>
    <row r="37" spans="1:7" x14ac:dyDescent="0.35">
      <c r="A37" s="2">
        <v>44978</v>
      </c>
      <c r="B37" s="3">
        <v>15179</v>
      </c>
      <c r="D37" s="4">
        <v>44978</v>
      </c>
      <c r="E37">
        <v>15217.538263684801</v>
      </c>
      <c r="F37">
        <v>15185.591956535</v>
      </c>
      <c r="G37">
        <v>31.9463071498073</v>
      </c>
    </row>
    <row r="38" spans="1:7" x14ac:dyDescent="0.35">
      <c r="A38" s="2">
        <v>44979</v>
      </c>
      <c r="B38" s="3">
        <v>15218</v>
      </c>
      <c r="D38" s="4">
        <v>44979</v>
      </c>
      <c r="E38">
        <v>15238.0941495357</v>
      </c>
      <c r="F38">
        <v>15196.465716712801</v>
      </c>
      <c r="G38">
        <v>41.628432822889799</v>
      </c>
    </row>
    <row r="39" spans="1:7" x14ac:dyDescent="0.35">
      <c r="A39" s="2">
        <v>44980</v>
      </c>
      <c r="B39" s="3">
        <v>15187</v>
      </c>
      <c r="D39" s="4">
        <v>44980</v>
      </c>
      <c r="E39">
        <v>15218.6126412741</v>
      </c>
      <c r="F39">
        <v>15207.3394768907</v>
      </c>
      <c r="G39">
        <v>11.2731643834595</v>
      </c>
    </row>
    <row r="40" spans="1:7" x14ac:dyDescent="0.35">
      <c r="A40" s="2">
        <v>44981</v>
      </c>
      <c r="B40" s="3">
        <v>15216</v>
      </c>
      <c r="D40" s="4">
        <v>44981</v>
      </c>
      <c r="E40">
        <v>15235.653066901001</v>
      </c>
      <c r="F40">
        <v>15218.213237034901</v>
      </c>
      <c r="G40">
        <v>17.439829866127599</v>
      </c>
    </row>
    <row r="41" spans="1:7" x14ac:dyDescent="0.35">
      <c r="A41" s="2">
        <v>44984</v>
      </c>
      <c r="B41" s="3">
        <v>15274</v>
      </c>
      <c r="D41" s="4">
        <v>44984</v>
      </c>
      <c r="E41">
        <v>15281.148731974499</v>
      </c>
      <c r="F41">
        <v>15250.8345174676</v>
      </c>
      <c r="G41">
        <v>30.314214506951</v>
      </c>
    </row>
    <row r="42" spans="1:7" x14ac:dyDescent="0.35">
      <c r="A42" s="2">
        <v>44985</v>
      </c>
      <c r="B42" s="3">
        <v>15240</v>
      </c>
      <c r="D42" s="4">
        <v>44985</v>
      </c>
      <c r="E42">
        <v>15293.6545847616</v>
      </c>
      <c r="F42">
        <v>15261.7082776118</v>
      </c>
      <c r="G42">
        <v>31.9463071497883</v>
      </c>
    </row>
    <row r="43" spans="1:7" x14ac:dyDescent="0.35">
      <c r="A43" s="2">
        <v>44986</v>
      </c>
      <c r="B43" s="3">
        <v>15250</v>
      </c>
      <c r="D43" s="4">
        <v>44986</v>
      </c>
      <c r="E43">
        <v>15314.210470578901</v>
      </c>
      <c r="F43">
        <v>15272.582037755999</v>
      </c>
      <c r="G43">
        <v>41.628432822880598</v>
      </c>
    </row>
    <row r="44" spans="1:7" x14ac:dyDescent="0.35">
      <c r="A44" s="2">
        <v>44987</v>
      </c>
      <c r="B44" s="3">
        <v>15273</v>
      </c>
      <c r="D44" s="4">
        <v>44987</v>
      </c>
      <c r="E44">
        <v>15294.7289622837</v>
      </c>
      <c r="F44">
        <v>15283.4557979002</v>
      </c>
      <c r="G44">
        <v>11.2731643834789</v>
      </c>
    </row>
    <row r="45" spans="1:7" x14ac:dyDescent="0.35">
      <c r="A45" s="2">
        <v>44988</v>
      </c>
      <c r="B45" s="3">
        <v>15306</v>
      </c>
      <c r="D45" s="4">
        <v>44988</v>
      </c>
      <c r="E45">
        <v>15311.7693870617</v>
      </c>
      <c r="F45">
        <v>15294.329557195701</v>
      </c>
      <c r="G45">
        <v>17.4398298660625</v>
      </c>
    </row>
    <row r="46" spans="1:7" x14ac:dyDescent="0.35">
      <c r="A46" s="2">
        <v>44991</v>
      </c>
      <c r="B46" s="3">
        <v>15301</v>
      </c>
      <c r="D46" s="4">
        <v>44991</v>
      </c>
      <c r="E46">
        <v>15357.265049588799</v>
      </c>
      <c r="F46">
        <v>15326.950835082</v>
      </c>
      <c r="G46">
        <v>30.314214506828801</v>
      </c>
    </row>
    <row r="47" spans="1:7" x14ac:dyDescent="0.35">
      <c r="A47" s="2">
        <v>44992</v>
      </c>
      <c r="B47" s="3">
        <v>15359</v>
      </c>
      <c r="D47" s="4">
        <v>44992</v>
      </c>
      <c r="E47">
        <v>15369.770901527199</v>
      </c>
      <c r="F47">
        <v>15337.8245943774</v>
      </c>
      <c r="G47">
        <v>31.9463071498194</v>
      </c>
    </row>
    <row r="48" spans="1:7" x14ac:dyDescent="0.35">
      <c r="A48" s="2">
        <v>44993</v>
      </c>
      <c r="B48" s="3">
        <v>15451</v>
      </c>
      <c r="D48" s="4">
        <v>44993</v>
      </c>
      <c r="E48">
        <v>15390.3267864957</v>
      </c>
      <c r="F48">
        <v>15348.6983536728</v>
      </c>
      <c r="G48">
        <v>41.628432822866898</v>
      </c>
    </row>
    <row r="49" spans="1:7" x14ac:dyDescent="0.35">
      <c r="A49" s="2">
        <v>44994</v>
      </c>
      <c r="B49" s="3">
        <v>15438</v>
      </c>
      <c r="D49" s="4">
        <v>44994</v>
      </c>
      <c r="E49">
        <v>15370.8452773518</v>
      </c>
      <c r="F49">
        <v>15359.572112968301</v>
      </c>
      <c r="G49">
        <v>11.2731643834982</v>
      </c>
    </row>
    <row r="50" spans="1:7" x14ac:dyDescent="0.35">
      <c r="A50" s="2">
        <v>44995</v>
      </c>
      <c r="B50" s="3">
        <v>15468</v>
      </c>
      <c r="D50" s="4">
        <v>44995</v>
      </c>
      <c r="E50">
        <v>15375.502586013101</v>
      </c>
      <c r="F50">
        <v>15358.062756146999</v>
      </c>
      <c r="G50">
        <v>17.439829866099501</v>
      </c>
    </row>
    <row r="51" spans="1:7" x14ac:dyDescent="0.35">
      <c r="A51" s="2">
        <v>44998</v>
      </c>
      <c r="B51" s="3">
        <v>15374</v>
      </c>
      <c r="D51" s="4">
        <v>44998</v>
      </c>
      <c r="E51">
        <v>15383.84890019</v>
      </c>
      <c r="F51">
        <v>15353.5346856832</v>
      </c>
      <c r="G51">
        <v>30.314214506806302</v>
      </c>
    </row>
    <row r="52" spans="1:7" x14ac:dyDescent="0.35">
      <c r="A52" s="2">
        <v>44999</v>
      </c>
      <c r="B52" s="3">
        <v>15380</v>
      </c>
      <c r="D52" s="4">
        <v>44999</v>
      </c>
      <c r="E52">
        <v>15383.9716360117</v>
      </c>
      <c r="F52">
        <v>15352.025328861901</v>
      </c>
      <c r="G52">
        <v>31.946307149796699</v>
      </c>
    </row>
    <row r="53" spans="1:7" x14ac:dyDescent="0.35">
      <c r="A53" s="2">
        <v>45000</v>
      </c>
      <c r="B53" s="3">
        <v>15365</v>
      </c>
      <c r="D53" s="4">
        <v>45000</v>
      </c>
      <c r="E53">
        <v>15392.1444048635</v>
      </c>
      <c r="F53">
        <v>15350.515972040601</v>
      </c>
      <c r="G53">
        <v>41.628432822857803</v>
      </c>
    </row>
    <row r="54" spans="1:7" x14ac:dyDescent="0.35">
      <c r="A54" s="2">
        <v>45001</v>
      </c>
      <c r="B54" s="3">
        <v>15418</v>
      </c>
      <c r="D54" s="4">
        <v>45001</v>
      </c>
      <c r="E54">
        <v>15360.279779602801</v>
      </c>
      <c r="F54">
        <v>15349.006615219399</v>
      </c>
      <c r="G54">
        <v>11.2731643834596</v>
      </c>
    </row>
    <row r="55" spans="1:7" x14ac:dyDescent="0.35">
      <c r="A55" s="2">
        <v>45002</v>
      </c>
      <c r="B55" s="3">
        <v>15364</v>
      </c>
      <c r="D55" s="4">
        <v>45002</v>
      </c>
      <c r="E55">
        <v>15345.2226597762</v>
      </c>
      <c r="F55">
        <v>15327.7828299103</v>
      </c>
      <c r="G55">
        <v>17.4398298659323</v>
      </c>
    </row>
    <row r="56" spans="1:7" x14ac:dyDescent="0.35">
      <c r="A56" s="2">
        <v>45005</v>
      </c>
      <c r="B56" s="3">
        <v>15372</v>
      </c>
      <c r="D56" s="4">
        <v>45005</v>
      </c>
      <c r="E56">
        <v>15294.4256884899</v>
      </c>
      <c r="F56">
        <v>15264.111473983001</v>
      </c>
      <c r="G56">
        <v>30.314214506883001</v>
      </c>
    </row>
    <row r="57" spans="1:7" x14ac:dyDescent="0.35">
      <c r="A57" s="2">
        <v>45006</v>
      </c>
      <c r="B57" s="3">
        <v>15349</v>
      </c>
      <c r="D57" s="4">
        <v>45006</v>
      </c>
      <c r="E57">
        <v>15274.833995823699</v>
      </c>
      <c r="F57">
        <v>15242.8876886739</v>
      </c>
      <c r="G57">
        <v>31.946307149774</v>
      </c>
    </row>
    <row r="58" spans="1:7" x14ac:dyDescent="0.35">
      <c r="A58" s="2">
        <v>45009</v>
      </c>
      <c r="B58" s="3">
        <v>15189</v>
      </c>
      <c r="D58" s="4">
        <v>45009</v>
      </c>
      <c r="E58">
        <v>15196.6561626126</v>
      </c>
      <c r="F58">
        <v>15179.216332746701</v>
      </c>
      <c r="G58">
        <v>17.439829865969401</v>
      </c>
    </row>
    <row r="59" spans="1:7" x14ac:dyDescent="0.35">
      <c r="A59" s="2">
        <v>45012</v>
      </c>
      <c r="B59" s="3">
        <v>15174</v>
      </c>
      <c r="D59" s="4">
        <v>45012</v>
      </c>
      <c r="E59">
        <v>15145.859191326001</v>
      </c>
      <c r="F59">
        <v>15115.544976819399</v>
      </c>
      <c r="G59">
        <v>30.314214506562301</v>
      </c>
    </row>
    <row r="60" spans="1:7" x14ac:dyDescent="0.35">
      <c r="A60" s="2">
        <v>45013</v>
      </c>
      <c r="B60" s="3">
        <v>15088</v>
      </c>
      <c r="D60" s="4">
        <v>45013</v>
      </c>
      <c r="E60">
        <v>15126.2674986601</v>
      </c>
      <c r="F60">
        <v>15094.3211915103</v>
      </c>
      <c r="G60">
        <v>31.946307149751298</v>
      </c>
    </row>
    <row r="61" spans="1:7" x14ac:dyDescent="0.35">
      <c r="A61" s="2">
        <v>45014</v>
      </c>
      <c r="B61" s="3">
        <v>15094</v>
      </c>
      <c r="D61" s="4">
        <v>45014</v>
      </c>
      <c r="E61">
        <v>15114.725838673001</v>
      </c>
      <c r="F61">
        <v>15073.0974058501</v>
      </c>
      <c r="G61">
        <v>41.628432822897302</v>
      </c>
    </row>
    <row r="62" spans="1:7" x14ac:dyDescent="0.35">
      <c r="A62" s="2">
        <v>45015</v>
      </c>
      <c r="B62" s="3">
        <v>15062</v>
      </c>
      <c r="D62" s="4">
        <v>45015</v>
      </c>
      <c r="E62">
        <v>15063.1467845733</v>
      </c>
      <c r="F62">
        <v>15051.873620189799</v>
      </c>
      <c r="G62">
        <v>11.273164383464399</v>
      </c>
    </row>
    <row r="63" spans="1:7" x14ac:dyDescent="0.35">
      <c r="A63" s="2">
        <v>45016</v>
      </c>
      <c r="B63" s="3">
        <v>14977</v>
      </c>
      <c r="D63" s="4">
        <v>45016</v>
      </c>
      <c r="E63">
        <v>15048.0896643955</v>
      </c>
      <c r="F63">
        <v>15030.6498345296</v>
      </c>
      <c r="G63">
        <v>17.439829865904301</v>
      </c>
    </row>
    <row r="64" spans="1:7" x14ac:dyDescent="0.35">
      <c r="A64" s="2">
        <v>45019</v>
      </c>
      <c r="B64" s="3">
        <v>14990</v>
      </c>
      <c r="D64" s="4">
        <v>45019</v>
      </c>
      <c r="E64">
        <v>14997.2926920556</v>
      </c>
      <c r="F64">
        <v>14966.978477548801</v>
      </c>
      <c r="G64">
        <v>30.314214506738299</v>
      </c>
    </row>
    <row r="65" spans="1:7" x14ac:dyDescent="0.35">
      <c r="A65" s="2">
        <v>45020</v>
      </c>
      <c r="B65" s="3">
        <v>14913</v>
      </c>
      <c r="D65" s="4">
        <v>45020</v>
      </c>
      <c r="E65">
        <v>14977.700999038399</v>
      </c>
      <c r="F65">
        <v>14945.7546918886</v>
      </c>
      <c r="G65">
        <v>31.946307149782399</v>
      </c>
    </row>
    <row r="66" spans="1:7" x14ac:dyDescent="0.35">
      <c r="A66" s="2">
        <v>45021</v>
      </c>
      <c r="B66" s="3">
        <v>14933</v>
      </c>
      <c r="D66" s="4">
        <v>45021</v>
      </c>
      <c r="E66">
        <v>14968.954981900801</v>
      </c>
      <c r="F66">
        <v>14927.326549077899</v>
      </c>
      <c r="G66">
        <v>41.628432822883603</v>
      </c>
    </row>
    <row r="67" spans="1:7" x14ac:dyDescent="0.35">
      <c r="A67" s="2">
        <v>45022</v>
      </c>
      <c r="B67" s="3">
        <v>14943</v>
      </c>
      <c r="D67" s="4">
        <v>45022</v>
      </c>
      <c r="E67">
        <v>14920.1715706507</v>
      </c>
      <c r="F67">
        <v>14908.898406267301</v>
      </c>
      <c r="G67">
        <v>11.273164383425801</v>
      </c>
    </row>
    <row r="68" spans="1:7" x14ac:dyDescent="0.35">
      <c r="A68" s="2">
        <v>45026</v>
      </c>
      <c r="B68" s="3">
        <v>14905</v>
      </c>
      <c r="D68" s="4">
        <v>45026</v>
      </c>
      <c r="E68">
        <v>14865.5000495313</v>
      </c>
      <c r="F68">
        <v>14835.1858350246</v>
      </c>
      <c r="G68">
        <v>30.3142145067158</v>
      </c>
    </row>
    <row r="69" spans="1:7" x14ac:dyDescent="0.35">
      <c r="A69" s="2">
        <v>45027</v>
      </c>
      <c r="B69" s="3">
        <v>14888</v>
      </c>
      <c r="D69" s="4">
        <v>45027</v>
      </c>
      <c r="E69">
        <v>14848.703999363601</v>
      </c>
      <c r="F69">
        <v>14816.7576922139</v>
      </c>
      <c r="G69">
        <v>31.946307149705898</v>
      </c>
    </row>
    <row r="70" spans="1:7" x14ac:dyDescent="0.35">
      <c r="A70" s="2">
        <v>45028</v>
      </c>
      <c r="B70" s="3">
        <v>14866</v>
      </c>
      <c r="D70" s="4">
        <v>45028</v>
      </c>
      <c r="E70">
        <v>14839.9579822261</v>
      </c>
      <c r="F70">
        <v>14798.329549403299</v>
      </c>
      <c r="G70">
        <v>41.628432822874402</v>
      </c>
    </row>
    <row r="71" spans="1:7" x14ac:dyDescent="0.35">
      <c r="A71" s="2">
        <v>45029</v>
      </c>
      <c r="B71" s="3">
        <v>14792</v>
      </c>
      <c r="D71" s="4">
        <v>45029</v>
      </c>
      <c r="E71">
        <v>14804.4843896271</v>
      </c>
      <c r="F71">
        <v>14793.2112252436</v>
      </c>
      <c r="G71">
        <v>11.273164383503101</v>
      </c>
    </row>
    <row r="72" spans="1:7" x14ac:dyDescent="0.35">
      <c r="A72" s="2">
        <v>45030</v>
      </c>
      <c r="B72" s="3">
        <v>14666</v>
      </c>
      <c r="D72" s="4">
        <v>45030</v>
      </c>
      <c r="E72">
        <v>14805.532730949901</v>
      </c>
      <c r="F72">
        <v>14788.092901083901</v>
      </c>
      <c r="G72">
        <v>17.439829866004501</v>
      </c>
    </row>
    <row r="73" spans="1:7" x14ac:dyDescent="0.35">
      <c r="A73" s="2">
        <v>45033</v>
      </c>
      <c r="B73" s="3">
        <v>14773</v>
      </c>
      <c r="D73" s="4">
        <v>45033</v>
      </c>
      <c r="E73">
        <v>14803.052143111599</v>
      </c>
      <c r="F73">
        <v>14772.7379286049</v>
      </c>
      <c r="G73">
        <v>30.314214506693201</v>
      </c>
    </row>
    <row r="74" spans="1:7" x14ac:dyDescent="0.35">
      <c r="A74" s="2">
        <v>45034</v>
      </c>
      <c r="B74" s="3">
        <v>14855</v>
      </c>
      <c r="D74" s="4">
        <v>45034</v>
      </c>
      <c r="E74">
        <v>14799.5659115951</v>
      </c>
      <c r="F74">
        <v>14767.619604445301</v>
      </c>
      <c r="G74">
        <v>31.946307149794599</v>
      </c>
    </row>
    <row r="75" spans="1:7" x14ac:dyDescent="0.35">
      <c r="A75" s="2">
        <v>45042</v>
      </c>
      <c r="B75" s="3">
        <v>14882</v>
      </c>
      <c r="D75" s="4">
        <v>45042</v>
      </c>
      <c r="E75">
        <v>14768.3014439908</v>
      </c>
      <c r="F75">
        <v>14726.673011167901</v>
      </c>
      <c r="G75">
        <v>41.628432822911698</v>
      </c>
    </row>
    <row r="76" spans="1:7" x14ac:dyDescent="0.35">
      <c r="A76" s="2">
        <v>45043</v>
      </c>
      <c r="B76" s="3">
        <v>14751</v>
      </c>
      <c r="D76" s="4">
        <v>45043</v>
      </c>
      <c r="E76">
        <v>14732.8279079193</v>
      </c>
      <c r="F76">
        <v>14721.5547435358</v>
      </c>
      <c r="G76">
        <v>11.273164383483801</v>
      </c>
    </row>
    <row r="77" spans="1:7" x14ac:dyDescent="0.35">
      <c r="A77" s="2">
        <v>45044</v>
      </c>
      <c r="B77" s="3">
        <v>14661</v>
      </c>
      <c r="D77" s="4">
        <v>45044</v>
      </c>
      <c r="E77">
        <v>14733.8763057696</v>
      </c>
      <c r="F77">
        <v>14716.4364759037</v>
      </c>
      <c r="G77">
        <v>17.439829865874302</v>
      </c>
    </row>
    <row r="78" spans="1:7" x14ac:dyDescent="0.35">
      <c r="A78" s="2">
        <v>45048</v>
      </c>
      <c r="B78" s="3">
        <v>14703</v>
      </c>
      <c r="D78" s="4">
        <v>45048</v>
      </c>
      <c r="E78">
        <v>14727.909712525099</v>
      </c>
      <c r="F78">
        <v>14695.9634053753</v>
      </c>
      <c r="G78">
        <v>31.946307149803001</v>
      </c>
    </row>
    <row r="79" spans="1:7" x14ac:dyDescent="0.35">
      <c r="A79" s="2">
        <v>45049</v>
      </c>
      <c r="B79" s="3">
        <v>14706</v>
      </c>
      <c r="D79" s="4">
        <v>45049</v>
      </c>
      <c r="E79">
        <v>14732.473570566</v>
      </c>
      <c r="F79">
        <v>14690.845137743099</v>
      </c>
      <c r="G79">
        <v>41.628432822900301</v>
      </c>
    </row>
    <row r="80" spans="1:7" x14ac:dyDescent="0.35">
      <c r="A80" s="2">
        <v>45050</v>
      </c>
      <c r="B80" s="3">
        <v>14632</v>
      </c>
      <c r="D80" s="4">
        <v>45050</v>
      </c>
      <c r="E80">
        <v>14697.0000344944</v>
      </c>
      <c r="F80">
        <v>14685.726870111001</v>
      </c>
      <c r="G80">
        <v>11.2731643834114</v>
      </c>
    </row>
    <row r="81" spans="1:7" x14ac:dyDescent="0.35">
      <c r="A81" s="2">
        <v>45051</v>
      </c>
      <c r="B81" s="3">
        <v>14674</v>
      </c>
      <c r="D81" s="4">
        <v>45051</v>
      </c>
      <c r="E81">
        <v>14698.0484323448</v>
      </c>
      <c r="F81">
        <v>14680.6086024789</v>
      </c>
      <c r="G81">
        <v>17.439829865911399</v>
      </c>
    </row>
    <row r="82" spans="1:7" x14ac:dyDescent="0.35">
      <c r="A82" s="2">
        <v>45054</v>
      </c>
      <c r="B82" s="3">
        <v>14709</v>
      </c>
      <c r="D82" s="4">
        <v>45054</v>
      </c>
      <c r="E82">
        <v>14740.7244076556</v>
      </c>
      <c r="F82">
        <v>14710.4101931487</v>
      </c>
      <c r="G82">
        <v>30.314214506923499</v>
      </c>
    </row>
    <row r="83" spans="1:7" x14ac:dyDescent="0.35">
      <c r="A83" s="2">
        <v>45055</v>
      </c>
      <c r="B83" s="3">
        <v>14757</v>
      </c>
      <c r="D83" s="4">
        <v>45055</v>
      </c>
      <c r="E83">
        <v>14752.290363855</v>
      </c>
      <c r="F83">
        <v>14720.3440567053</v>
      </c>
      <c r="G83">
        <v>31.946307149726501</v>
      </c>
    </row>
    <row r="84" spans="1:7" x14ac:dyDescent="0.35">
      <c r="A84" s="2">
        <v>45056</v>
      </c>
      <c r="B84" s="3">
        <v>14746</v>
      </c>
      <c r="D84" s="4">
        <v>45056</v>
      </c>
      <c r="E84">
        <v>14771.9063530848</v>
      </c>
      <c r="F84">
        <v>14730.2779202619</v>
      </c>
      <c r="G84">
        <v>41.628432822891099</v>
      </c>
    </row>
    <row r="85" spans="1:7" x14ac:dyDescent="0.35">
      <c r="A85" s="2">
        <v>45057</v>
      </c>
      <c r="B85" s="3">
        <v>14722</v>
      </c>
      <c r="D85" s="4">
        <v>45057</v>
      </c>
      <c r="E85">
        <v>14751.484948202</v>
      </c>
      <c r="F85">
        <v>14740.2117838185</v>
      </c>
      <c r="G85">
        <v>11.2731643834887</v>
      </c>
    </row>
    <row r="86" spans="1:7" x14ac:dyDescent="0.35">
      <c r="A86" s="2">
        <v>45058</v>
      </c>
      <c r="B86" s="3">
        <v>14752</v>
      </c>
      <c r="D86" s="4">
        <v>45058</v>
      </c>
      <c r="E86">
        <v>14767.585477241</v>
      </c>
      <c r="F86">
        <v>14750.1456473751</v>
      </c>
      <c r="G86">
        <v>17.4398298659485</v>
      </c>
    </row>
    <row r="87" spans="1:7" x14ac:dyDescent="0.35">
      <c r="A87" s="2">
        <v>45061</v>
      </c>
      <c r="B87" s="3">
        <v>14812</v>
      </c>
      <c r="D87" s="4">
        <v>45061</v>
      </c>
      <c r="E87">
        <v>14810.2614560374</v>
      </c>
      <c r="F87">
        <v>14779.947241530699</v>
      </c>
      <c r="G87">
        <v>30.314214506702001</v>
      </c>
    </row>
    <row r="88" spans="1:7" x14ac:dyDescent="0.35">
      <c r="A88" s="2">
        <v>45062</v>
      </c>
      <c r="B88" s="3">
        <v>14810</v>
      </c>
      <c r="D88" s="4">
        <v>45062</v>
      </c>
      <c r="E88">
        <v>14821.827413399</v>
      </c>
      <c r="F88">
        <v>14789.8811062492</v>
      </c>
      <c r="G88">
        <v>31.946307149757601</v>
      </c>
    </row>
    <row r="89" spans="1:7" x14ac:dyDescent="0.35">
      <c r="A89" s="2">
        <v>45063</v>
      </c>
      <c r="B89" s="3">
        <v>14875</v>
      </c>
      <c r="D89" s="4">
        <v>45063</v>
      </c>
      <c r="E89">
        <v>14841.443403790599</v>
      </c>
      <c r="F89">
        <v>14799.8149709678</v>
      </c>
      <c r="G89">
        <v>41.6284328228774</v>
      </c>
    </row>
    <row r="90" spans="1:7" x14ac:dyDescent="0.35">
      <c r="A90" s="2">
        <v>45065</v>
      </c>
      <c r="B90" s="3">
        <v>14936</v>
      </c>
      <c r="D90" s="4">
        <v>45065</v>
      </c>
      <c r="E90">
        <v>14837.122530270701</v>
      </c>
      <c r="F90">
        <v>14819.682700404799</v>
      </c>
      <c r="G90">
        <v>17.4398298658834</v>
      </c>
    </row>
    <row r="91" spans="1:7" x14ac:dyDescent="0.35">
      <c r="A91" s="2">
        <v>45068</v>
      </c>
      <c r="B91" s="3">
        <v>14897</v>
      </c>
      <c r="D91" s="4">
        <v>45068</v>
      </c>
      <c r="E91">
        <v>14879.798509067199</v>
      </c>
      <c r="F91">
        <v>14849.4842945605</v>
      </c>
      <c r="G91">
        <v>30.3142145067788</v>
      </c>
    </row>
    <row r="92" spans="1:7" x14ac:dyDescent="0.35">
      <c r="A92" s="2">
        <v>45069</v>
      </c>
      <c r="B92" s="3">
        <v>14878</v>
      </c>
      <c r="D92" s="4">
        <v>45069</v>
      </c>
      <c r="E92">
        <v>14885.533913192199</v>
      </c>
      <c r="F92">
        <v>14853.5876060424</v>
      </c>
      <c r="G92">
        <v>31.946307149788701</v>
      </c>
    </row>
    <row r="93" spans="1:7" x14ac:dyDescent="0.35">
      <c r="A93" s="2">
        <v>45070</v>
      </c>
      <c r="B93" s="3">
        <v>14905</v>
      </c>
      <c r="D93" s="4">
        <v>45070</v>
      </c>
      <c r="E93">
        <v>14899.319350347199</v>
      </c>
      <c r="F93">
        <v>14857.6909175243</v>
      </c>
      <c r="G93">
        <v>41.628432822868199</v>
      </c>
    </row>
    <row r="94" spans="1:7" x14ac:dyDescent="0.35">
      <c r="A94" s="2">
        <v>45071</v>
      </c>
      <c r="B94" s="3">
        <v>14952</v>
      </c>
      <c r="D94" s="4">
        <v>45071</v>
      </c>
      <c r="E94">
        <v>14873.0673933897</v>
      </c>
      <c r="F94">
        <v>14861.7942290063</v>
      </c>
      <c r="G94">
        <v>11.2731643834694</v>
      </c>
    </row>
    <row r="95" spans="1:7" x14ac:dyDescent="0.35">
      <c r="A95" s="2">
        <v>45072</v>
      </c>
      <c r="B95" s="3">
        <v>14959</v>
      </c>
      <c r="D95" s="4">
        <v>45072</v>
      </c>
      <c r="E95">
        <v>14883.3373703543</v>
      </c>
      <c r="F95">
        <v>14865.8975404882</v>
      </c>
      <c r="G95">
        <v>17.439829866048701</v>
      </c>
    </row>
    <row r="96" spans="1:7" x14ac:dyDescent="0.35">
      <c r="A96" s="2">
        <v>45075</v>
      </c>
      <c r="B96" s="3">
        <v>14973</v>
      </c>
      <c r="D96" s="4">
        <v>45075</v>
      </c>
      <c r="E96">
        <v>14908.5216894408</v>
      </c>
      <c r="F96">
        <v>14878.207474934001</v>
      </c>
      <c r="G96">
        <v>30.314214506756201</v>
      </c>
    </row>
    <row r="97" spans="1:7" x14ac:dyDescent="0.35">
      <c r="A97" s="2">
        <v>45076</v>
      </c>
      <c r="B97" s="3">
        <v>14969</v>
      </c>
      <c r="D97" s="4">
        <v>45076</v>
      </c>
      <c r="E97">
        <v>14912.4873859902</v>
      </c>
      <c r="F97">
        <v>14880.541078840401</v>
      </c>
      <c r="G97">
        <v>31.946307149769702</v>
      </c>
    </row>
    <row r="98" spans="1:7" x14ac:dyDescent="0.35">
      <c r="A98" s="2">
        <v>45077</v>
      </c>
      <c r="B98" s="3">
        <v>15003</v>
      </c>
      <c r="D98" s="4">
        <v>45077</v>
      </c>
      <c r="E98">
        <v>14924.5031155698</v>
      </c>
      <c r="F98">
        <v>14882.8746827468</v>
      </c>
      <c r="G98">
        <v>41.628432822916899</v>
      </c>
    </row>
    <row r="99" spans="1:7" x14ac:dyDescent="0.35">
      <c r="A99" s="2">
        <v>45082</v>
      </c>
      <c r="B99" s="3">
        <v>14888</v>
      </c>
      <c r="D99" s="4">
        <v>45082</v>
      </c>
      <c r="E99">
        <v>14924.8569167858</v>
      </c>
      <c r="F99">
        <v>14894.542702278901</v>
      </c>
      <c r="G99">
        <v>30.314214506932299</v>
      </c>
    </row>
    <row r="100" spans="1:7" x14ac:dyDescent="0.35">
      <c r="A100" s="2">
        <v>45083</v>
      </c>
      <c r="B100" s="3">
        <v>14839</v>
      </c>
      <c r="D100" s="4">
        <v>45083</v>
      </c>
      <c r="E100">
        <v>14928.8226133351</v>
      </c>
      <c r="F100">
        <v>14896.876306185301</v>
      </c>
      <c r="G100">
        <v>31.946307149800901</v>
      </c>
    </row>
    <row r="101" spans="1:7" x14ac:dyDescent="0.35">
      <c r="A101" s="2">
        <v>45084</v>
      </c>
      <c r="B101" s="3">
        <v>14875</v>
      </c>
      <c r="D101" s="4">
        <v>45084</v>
      </c>
      <c r="E101">
        <v>14940.8383429146</v>
      </c>
      <c r="F101">
        <v>14899.2099100917</v>
      </c>
      <c r="G101">
        <v>41.628432822907698</v>
      </c>
    </row>
    <row r="102" spans="1:7" x14ac:dyDescent="0.35">
      <c r="A102" s="2">
        <v>45085</v>
      </c>
      <c r="B102" s="3">
        <v>14903</v>
      </c>
      <c r="D102" s="4">
        <v>45085</v>
      </c>
      <c r="E102">
        <v>14912.8166783816</v>
      </c>
      <c r="F102">
        <v>14901.5435139981</v>
      </c>
      <c r="G102">
        <v>11.273164383508</v>
      </c>
    </row>
    <row r="103" spans="1:7" x14ac:dyDescent="0.35">
      <c r="A103" s="2">
        <v>45086</v>
      </c>
      <c r="B103" s="3">
        <v>14853</v>
      </c>
      <c r="D103" s="4">
        <v>45086</v>
      </c>
      <c r="E103">
        <v>14922.3565848167</v>
      </c>
      <c r="F103">
        <v>14904.9167549507</v>
      </c>
      <c r="G103">
        <v>17.439829866020698</v>
      </c>
    </row>
    <row r="104" spans="1:7" x14ac:dyDescent="0.35">
      <c r="A104" s="2">
        <v>45089</v>
      </c>
      <c r="B104" s="3">
        <v>14874</v>
      </c>
      <c r="D104" s="4">
        <v>45089</v>
      </c>
      <c r="E104">
        <v>14945.3506923154</v>
      </c>
      <c r="F104">
        <v>14915.0364778085</v>
      </c>
      <c r="G104">
        <v>30.3142145069097</v>
      </c>
    </row>
    <row r="105" spans="1:7" x14ac:dyDescent="0.35">
      <c r="A105" s="2">
        <v>45090</v>
      </c>
      <c r="B105" s="3">
        <v>14868</v>
      </c>
      <c r="D105" s="4">
        <v>45090</v>
      </c>
      <c r="E105">
        <v>14950.3560259109</v>
      </c>
      <c r="F105">
        <v>14918.409718761101</v>
      </c>
      <c r="G105">
        <v>31.9463071497782</v>
      </c>
    </row>
    <row r="106" spans="1:7" x14ac:dyDescent="0.35">
      <c r="A106" s="2">
        <v>45091</v>
      </c>
      <c r="B106" s="3">
        <v>14895</v>
      </c>
      <c r="D106" s="4">
        <v>45091</v>
      </c>
      <c r="E106">
        <v>14963.4113925366</v>
      </c>
      <c r="F106">
        <v>14921.782959713701</v>
      </c>
      <c r="G106">
        <v>41.628432822893998</v>
      </c>
    </row>
    <row r="107" spans="1:7" x14ac:dyDescent="0.35">
      <c r="A107" s="2">
        <v>45092</v>
      </c>
      <c r="B107" s="3">
        <v>14943</v>
      </c>
      <c r="D107" s="4">
        <v>45092</v>
      </c>
      <c r="E107">
        <v>14936.4293650498</v>
      </c>
      <c r="F107">
        <v>14925.156200666301</v>
      </c>
      <c r="G107">
        <v>11.2731643834694</v>
      </c>
    </row>
    <row r="108" spans="1:7" x14ac:dyDescent="0.35">
      <c r="A108" s="2">
        <v>45093</v>
      </c>
      <c r="B108" s="3">
        <v>14945</v>
      </c>
      <c r="D108" s="4">
        <v>45093</v>
      </c>
      <c r="E108">
        <v>14946.0214125413</v>
      </c>
      <c r="F108">
        <v>14928.5815826752</v>
      </c>
      <c r="G108">
        <v>17.439829866083802</v>
      </c>
    </row>
    <row r="109" spans="1:7" x14ac:dyDescent="0.35">
      <c r="A109" s="2">
        <v>45096</v>
      </c>
      <c r="B109" s="3">
        <v>14994</v>
      </c>
      <c r="D109" s="4">
        <v>45096</v>
      </c>
      <c r="E109">
        <v>14969.171943208999</v>
      </c>
      <c r="F109">
        <v>14938.857728702</v>
      </c>
      <c r="G109">
        <v>30.314214506986499</v>
      </c>
    </row>
    <row r="110" spans="1:7" x14ac:dyDescent="0.35">
      <c r="A110" s="2">
        <v>45097</v>
      </c>
      <c r="B110" s="3">
        <v>15040</v>
      </c>
      <c r="D110" s="4">
        <v>45097</v>
      </c>
      <c r="E110">
        <v>14974.229417860701</v>
      </c>
      <c r="F110">
        <v>14942.2831107109</v>
      </c>
      <c r="G110">
        <v>31.946307149755501</v>
      </c>
    </row>
    <row r="111" spans="1:7" x14ac:dyDescent="0.35">
      <c r="A111" s="2">
        <v>45098</v>
      </c>
      <c r="B111" s="3">
        <v>14982</v>
      </c>
      <c r="D111" s="4">
        <v>45098</v>
      </c>
      <c r="E111">
        <v>14987.336925542701</v>
      </c>
      <c r="F111">
        <v>14945.708492719799</v>
      </c>
      <c r="G111">
        <v>41.628432822884903</v>
      </c>
    </row>
    <row r="112" spans="1:7" x14ac:dyDescent="0.35">
      <c r="A112" s="2">
        <v>45099</v>
      </c>
      <c r="B112" s="3">
        <v>14918</v>
      </c>
      <c r="D112" s="4">
        <v>45099</v>
      </c>
      <c r="E112">
        <v>14960.4070391123</v>
      </c>
      <c r="F112">
        <v>14949.133874728701</v>
      </c>
      <c r="G112">
        <v>11.273164383512899</v>
      </c>
    </row>
    <row r="113" spans="1:7" x14ac:dyDescent="0.35">
      <c r="A113" s="2">
        <v>45100</v>
      </c>
      <c r="B113" s="3">
        <v>14998</v>
      </c>
      <c r="D113" s="4">
        <v>45100</v>
      </c>
      <c r="E113">
        <v>14969.9990877318</v>
      </c>
      <c r="F113">
        <v>14952.5592578657</v>
      </c>
      <c r="G113">
        <v>17.439829866120899</v>
      </c>
    </row>
    <row r="114" spans="1:7" x14ac:dyDescent="0.35">
      <c r="A114" s="2">
        <v>45103</v>
      </c>
      <c r="B114" s="3">
        <v>15026</v>
      </c>
      <c r="D114" s="4">
        <v>45103</v>
      </c>
      <c r="E114">
        <v>14993.149621783299</v>
      </c>
      <c r="F114">
        <v>14962.8354072766</v>
      </c>
      <c r="G114">
        <v>30.314214506665699</v>
      </c>
    </row>
    <row r="115" spans="1:7" x14ac:dyDescent="0.35">
      <c r="A115" s="2">
        <v>45104</v>
      </c>
      <c r="B115" s="3">
        <v>15000</v>
      </c>
      <c r="D115" s="4">
        <v>45104</v>
      </c>
      <c r="E115">
        <v>14998.2070975634</v>
      </c>
      <c r="F115">
        <v>14966.2607904136</v>
      </c>
      <c r="G115">
        <v>31.9463071497903</v>
      </c>
    </row>
    <row r="116" spans="1:7" x14ac:dyDescent="0.35">
      <c r="A116" s="2">
        <v>45110</v>
      </c>
      <c r="B116" s="3">
        <v>15034</v>
      </c>
      <c r="D116" s="4">
        <v>45110</v>
      </c>
      <c r="E116">
        <v>15017.1273037423</v>
      </c>
      <c r="F116">
        <v>14986.8130892355</v>
      </c>
      <c r="G116">
        <v>30.3142145068418</v>
      </c>
    </row>
    <row r="117" spans="1:7" x14ac:dyDescent="0.35">
      <c r="A117" s="2">
        <v>45111</v>
      </c>
      <c r="B117" s="3">
        <v>15018</v>
      </c>
      <c r="D117" s="4">
        <v>45111</v>
      </c>
      <c r="E117">
        <v>15022.1847795222</v>
      </c>
      <c r="F117">
        <v>14990.238472372401</v>
      </c>
      <c r="G117">
        <v>31.946307149821401</v>
      </c>
    </row>
    <row r="118" spans="1:7" x14ac:dyDescent="0.35">
      <c r="A118" s="2">
        <v>45112</v>
      </c>
      <c r="B118" s="3">
        <v>15013</v>
      </c>
      <c r="D118" s="4">
        <v>45112</v>
      </c>
      <c r="E118">
        <v>15035.2839054912</v>
      </c>
      <c r="F118">
        <v>14993.655472668301</v>
      </c>
      <c r="G118">
        <v>41.628432822862003</v>
      </c>
    </row>
    <row r="119" spans="1:7" x14ac:dyDescent="0.35">
      <c r="A119" s="2">
        <v>45113</v>
      </c>
      <c r="B119" s="3">
        <v>15062</v>
      </c>
      <c r="D119" s="4">
        <v>45113</v>
      </c>
      <c r="E119">
        <v>15008.3456373477</v>
      </c>
      <c r="F119">
        <v>14997.072472964201</v>
      </c>
      <c r="G119">
        <v>11.273164383493601</v>
      </c>
    </row>
    <row r="120" spans="1:7" x14ac:dyDescent="0.35">
      <c r="A120" s="2">
        <v>45114</v>
      </c>
      <c r="B120" s="3">
        <v>15136</v>
      </c>
      <c r="D120" s="4">
        <v>45114</v>
      </c>
      <c r="E120">
        <v>15017.9293031261</v>
      </c>
      <c r="F120">
        <v>15000.489473260101</v>
      </c>
      <c r="G120">
        <v>17.439829865990699</v>
      </c>
    </row>
    <row r="121" spans="1:7" x14ac:dyDescent="0.35">
      <c r="A121" s="2">
        <v>45117</v>
      </c>
      <c r="B121" s="3">
        <v>15192</v>
      </c>
      <c r="D121" s="4">
        <v>45117</v>
      </c>
      <c r="E121">
        <v>15041.0546886547</v>
      </c>
      <c r="F121">
        <v>15010.7404741479</v>
      </c>
      <c r="G121">
        <v>30.314214506819201</v>
      </c>
    </row>
    <row r="122" spans="1:7" x14ac:dyDescent="0.35">
      <c r="A122" s="2">
        <v>45118</v>
      </c>
      <c r="B122" s="3">
        <v>15162</v>
      </c>
      <c r="D122" s="4">
        <v>45118</v>
      </c>
      <c r="E122">
        <v>15046.1037815936</v>
      </c>
      <c r="F122">
        <v>15014.1574744438</v>
      </c>
      <c r="G122">
        <v>31.946307149798699</v>
      </c>
    </row>
    <row r="123" spans="1:7" x14ac:dyDescent="0.35">
      <c r="A123" s="2">
        <v>45119</v>
      </c>
      <c r="B123" s="3">
        <v>15084</v>
      </c>
      <c r="D123" s="4">
        <v>45119</v>
      </c>
      <c r="E123">
        <v>15059.2029075625</v>
      </c>
      <c r="F123">
        <v>15017.5744747397</v>
      </c>
      <c r="G123">
        <v>41.628432822852801</v>
      </c>
    </row>
    <row r="124" spans="1:7" x14ac:dyDescent="0.35">
      <c r="A124" s="2">
        <v>45120</v>
      </c>
      <c r="B124" s="3">
        <v>14978</v>
      </c>
      <c r="D124" s="4">
        <v>45120</v>
      </c>
      <c r="E124">
        <v>15032.2646393303</v>
      </c>
      <c r="F124">
        <v>15020.991474946801</v>
      </c>
      <c r="G124">
        <v>11.2731643834212</v>
      </c>
    </row>
    <row r="125" spans="1:7" x14ac:dyDescent="0.35">
      <c r="A125" s="2">
        <v>45121</v>
      </c>
      <c r="B125" s="3">
        <v>14945</v>
      </c>
      <c r="D125" s="4">
        <v>45121</v>
      </c>
      <c r="E125">
        <v>15041.848305019899</v>
      </c>
      <c r="F125">
        <v>15024.408475153999</v>
      </c>
      <c r="G125">
        <v>17.439829865925599</v>
      </c>
    </row>
    <row r="126" spans="1:7" x14ac:dyDescent="0.35">
      <c r="A126" s="2">
        <v>45124</v>
      </c>
      <c r="B126" s="3">
        <v>15007</v>
      </c>
      <c r="D126" s="4">
        <v>45124</v>
      </c>
      <c r="E126">
        <v>15064.973690282401</v>
      </c>
      <c r="F126">
        <v>15034.659475775499</v>
      </c>
      <c r="G126">
        <v>30.314214506896001</v>
      </c>
    </row>
    <row r="127" spans="1:7" x14ac:dyDescent="0.35">
      <c r="A127" s="2">
        <v>45125</v>
      </c>
      <c r="B127" s="3">
        <v>14994</v>
      </c>
      <c r="D127" s="4">
        <v>45125</v>
      </c>
      <c r="E127">
        <v>15070.022783132499</v>
      </c>
      <c r="F127">
        <v>15038.0764759827</v>
      </c>
      <c r="G127">
        <v>31.946307149776001</v>
      </c>
    </row>
    <row r="128" spans="1:7" x14ac:dyDescent="0.35">
      <c r="A128" s="2">
        <v>45127</v>
      </c>
      <c r="B128" s="3">
        <v>14991</v>
      </c>
      <c r="D128" s="4">
        <v>45127</v>
      </c>
      <c r="E128">
        <v>15056.1836407805</v>
      </c>
      <c r="F128">
        <v>15044.910476397001</v>
      </c>
      <c r="G128">
        <v>11.273164383498401</v>
      </c>
    </row>
    <row r="129" spans="1:7" x14ac:dyDescent="0.35">
      <c r="A129" s="2">
        <v>45128</v>
      </c>
      <c r="B129" s="3">
        <v>15026</v>
      </c>
      <c r="D129" s="4">
        <v>45128</v>
      </c>
      <c r="E129">
        <v>15067.7919421156</v>
      </c>
      <c r="F129">
        <v>15050.3521122496</v>
      </c>
      <c r="G129">
        <v>17.4398298659627</v>
      </c>
    </row>
    <row r="130" spans="1:7" x14ac:dyDescent="0.35">
      <c r="A130" s="2">
        <v>45131</v>
      </c>
      <c r="B130" s="3">
        <v>15028</v>
      </c>
      <c r="D130" s="4">
        <v>45131</v>
      </c>
      <c r="E130">
        <v>15096.9912343141</v>
      </c>
      <c r="F130">
        <v>15066.677019807399</v>
      </c>
      <c r="G130">
        <v>30.314214506674499</v>
      </c>
    </row>
    <row r="131" spans="1:7" x14ac:dyDescent="0.35">
      <c r="A131" s="2">
        <v>45132</v>
      </c>
      <c r="B131" s="3">
        <v>15007</v>
      </c>
      <c r="D131" s="4">
        <v>45132</v>
      </c>
      <c r="E131">
        <v>15104.0649628098</v>
      </c>
      <c r="F131">
        <v>15072.118655660001</v>
      </c>
      <c r="G131">
        <v>31.946307149753299</v>
      </c>
    </row>
    <row r="132" spans="1:7" x14ac:dyDescent="0.35">
      <c r="A132" s="2">
        <v>45133</v>
      </c>
      <c r="B132" s="3">
        <v>15032</v>
      </c>
      <c r="D132" s="4">
        <v>45133</v>
      </c>
      <c r="E132">
        <v>15119.1887243355</v>
      </c>
      <c r="F132">
        <v>15077.5602915126</v>
      </c>
      <c r="G132">
        <v>41.628432822890097</v>
      </c>
    </row>
    <row r="133" spans="1:7" x14ac:dyDescent="0.35">
      <c r="A133" s="2">
        <v>45134</v>
      </c>
      <c r="B133" s="3">
        <v>15003</v>
      </c>
      <c r="D133" s="4">
        <v>45134</v>
      </c>
      <c r="E133">
        <v>15094.275091748699</v>
      </c>
      <c r="F133">
        <v>15083.0019273652</v>
      </c>
      <c r="G133">
        <v>11.2731643834598</v>
      </c>
    </row>
    <row r="134" spans="1:7" x14ac:dyDescent="0.35">
      <c r="A134" s="2">
        <v>45135</v>
      </c>
      <c r="B134" s="3">
        <v>15083</v>
      </c>
      <c r="D134" s="4">
        <v>45135</v>
      </c>
      <c r="E134">
        <v>15105.8833928121</v>
      </c>
      <c r="F134">
        <v>15088.4435629462</v>
      </c>
      <c r="G134">
        <v>17.4398298658976</v>
      </c>
    </row>
    <row r="135" spans="1:7" x14ac:dyDescent="0.35">
      <c r="A135" s="2">
        <v>45138</v>
      </c>
      <c r="B135" s="3">
        <v>15092</v>
      </c>
      <c r="D135" s="4">
        <v>45138</v>
      </c>
      <c r="E135">
        <v>15135.082684196001</v>
      </c>
      <c r="F135">
        <v>15104.768469689299</v>
      </c>
      <c r="G135">
        <v>30.314214506751298</v>
      </c>
    </row>
    <row r="136" spans="1:7" x14ac:dyDescent="0.35">
      <c r="A136" s="2">
        <v>45139</v>
      </c>
      <c r="B136" s="3">
        <v>15117</v>
      </c>
      <c r="D136" s="4">
        <v>45139</v>
      </c>
      <c r="E136">
        <v>15142.1564124201</v>
      </c>
      <c r="F136">
        <v>15110.2101052703</v>
      </c>
      <c r="G136">
        <v>31.946307149784399</v>
      </c>
    </row>
    <row r="137" spans="1:7" x14ac:dyDescent="0.35">
      <c r="A137" s="2">
        <v>45140</v>
      </c>
      <c r="B137" s="3">
        <v>15171</v>
      </c>
      <c r="D137" s="4">
        <v>45140</v>
      </c>
      <c r="E137">
        <v>15157.2801736742</v>
      </c>
      <c r="F137">
        <v>15115.651740851299</v>
      </c>
      <c r="G137">
        <v>41.6284328228787</v>
      </c>
    </row>
    <row r="138" spans="1:7" x14ac:dyDescent="0.35">
      <c r="A138" s="2">
        <v>45141</v>
      </c>
      <c r="B138" s="3">
        <v>15198</v>
      </c>
      <c r="D138" s="4">
        <v>45141</v>
      </c>
      <c r="E138">
        <v>15132.366540815799</v>
      </c>
      <c r="F138">
        <v>15121.0933764323</v>
      </c>
      <c r="G138">
        <v>11.2731643834212</v>
      </c>
    </row>
    <row r="139" spans="1:7" x14ac:dyDescent="0.35">
      <c r="A139" s="2">
        <v>45142</v>
      </c>
      <c r="B139" s="3">
        <v>15168</v>
      </c>
      <c r="D139" s="4">
        <v>45142</v>
      </c>
      <c r="E139">
        <v>15143.974841879401</v>
      </c>
      <c r="F139">
        <v>15126.535012013401</v>
      </c>
      <c r="G139">
        <v>17.439829866062901</v>
      </c>
    </row>
    <row r="140" spans="1:7" x14ac:dyDescent="0.35">
      <c r="A140" s="2">
        <v>45145</v>
      </c>
      <c r="B140" s="3">
        <v>15178</v>
      </c>
      <c r="D140" s="4">
        <v>45145</v>
      </c>
      <c r="E140">
        <v>15173.174133263101</v>
      </c>
      <c r="F140">
        <v>15142.8599187564</v>
      </c>
      <c r="G140">
        <v>30.3142145067287</v>
      </c>
    </row>
    <row r="141" spans="1:7" x14ac:dyDescent="0.35">
      <c r="A141" s="2">
        <v>45146</v>
      </c>
      <c r="B141" s="3">
        <v>15229</v>
      </c>
      <c r="D141" s="4">
        <v>45146</v>
      </c>
      <c r="E141">
        <v>15180.2478614871</v>
      </c>
      <c r="F141">
        <v>15148.3015543374</v>
      </c>
      <c r="G141">
        <v>31.946307149707899</v>
      </c>
    </row>
    <row r="142" spans="1:7" x14ac:dyDescent="0.35">
      <c r="A142" s="2">
        <v>45147</v>
      </c>
      <c r="B142" s="3">
        <v>15206</v>
      </c>
      <c r="D142" s="4">
        <v>45147</v>
      </c>
      <c r="E142">
        <v>15195.371622741401</v>
      </c>
      <c r="F142">
        <v>15153.743189918399</v>
      </c>
      <c r="G142">
        <v>41.628432822929597</v>
      </c>
    </row>
    <row r="143" spans="1:7" x14ac:dyDescent="0.35">
      <c r="A143" s="2">
        <v>45148</v>
      </c>
      <c r="B143" s="3">
        <v>15204</v>
      </c>
      <c r="D143" s="4">
        <v>45148</v>
      </c>
      <c r="E143">
        <v>15170.4579898829</v>
      </c>
      <c r="F143">
        <v>15159.1848254995</v>
      </c>
      <c r="G143">
        <v>11.2731643834985</v>
      </c>
    </row>
    <row r="144" spans="1:7" x14ac:dyDescent="0.35">
      <c r="A144" s="2">
        <v>45149</v>
      </c>
      <c r="B144" s="3">
        <v>15225</v>
      </c>
      <c r="D144" s="4">
        <v>45149</v>
      </c>
      <c r="E144">
        <v>15182.066290946501</v>
      </c>
      <c r="F144">
        <v>15164.626461080499</v>
      </c>
      <c r="G144">
        <v>17.439829865997801</v>
      </c>
    </row>
    <row r="145" spans="1:7" x14ac:dyDescent="0.35">
      <c r="A145" s="2">
        <v>45152</v>
      </c>
      <c r="B145" s="3">
        <v>15323</v>
      </c>
      <c r="D145" s="4">
        <v>45152</v>
      </c>
      <c r="E145">
        <v>15211.265582330399</v>
      </c>
      <c r="F145">
        <v>15180.9513678235</v>
      </c>
      <c r="G145">
        <v>30.314214506904801</v>
      </c>
    </row>
    <row r="146" spans="1:7" x14ac:dyDescent="0.35">
      <c r="A146" s="2">
        <v>45153</v>
      </c>
      <c r="B146" s="3">
        <v>15346</v>
      </c>
      <c r="D146" s="4">
        <v>45153</v>
      </c>
      <c r="E146">
        <v>15218.3393105543</v>
      </c>
      <c r="F146">
        <v>15186.393003404501</v>
      </c>
      <c r="G146">
        <v>31.946307149796599</v>
      </c>
    </row>
    <row r="147" spans="1:7" x14ac:dyDescent="0.35">
      <c r="A147" s="2">
        <v>45154</v>
      </c>
      <c r="B147" s="3">
        <v>15308</v>
      </c>
      <c r="D147" s="4">
        <v>45154</v>
      </c>
      <c r="E147">
        <v>15233.463071808501</v>
      </c>
      <c r="F147">
        <v>15191.8346389855</v>
      </c>
      <c r="G147">
        <v>41.628432822918199</v>
      </c>
    </row>
    <row r="148" spans="1:7" x14ac:dyDescent="0.35">
      <c r="A148" s="2">
        <v>45156</v>
      </c>
      <c r="B148" s="3">
        <v>15308</v>
      </c>
      <c r="D148" s="4">
        <v>45156</v>
      </c>
      <c r="E148">
        <v>15220.157740013599</v>
      </c>
      <c r="F148">
        <v>15202.717910147599</v>
      </c>
      <c r="G148">
        <v>17.439829866034898</v>
      </c>
    </row>
    <row r="149" spans="1:7" x14ac:dyDescent="0.35">
      <c r="A149" s="2">
        <v>45159</v>
      </c>
      <c r="B149" s="3">
        <v>15329</v>
      </c>
      <c r="D149" s="4">
        <v>45159</v>
      </c>
      <c r="E149">
        <v>15249.3570313975</v>
      </c>
      <c r="F149">
        <v>15219.0428168906</v>
      </c>
      <c r="G149">
        <v>30.314214506882202</v>
      </c>
    </row>
    <row r="150" spans="1:7" x14ac:dyDescent="0.35">
      <c r="A150" s="2">
        <v>45160</v>
      </c>
      <c r="B150" s="3">
        <v>15326</v>
      </c>
      <c r="D150" s="4">
        <v>45160</v>
      </c>
      <c r="E150">
        <v>15256.4307596214</v>
      </c>
      <c r="F150">
        <v>15224.484452471601</v>
      </c>
      <c r="G150">
        <v>31.946307149773901</v>
      </c>
    </row>
    <row r="151" spans="1:7" x14ac:dyDescent="0.35">
      <c r="A151" s="2">
        <v>45161</v>
      </c>
      <c r="B151" s="3">
        <v>15319</v>
      </c>
      <c r="D151" s="4">
        <v>45161</v>
      </c>
      <c r="E151">
        <v>15271.554520875599</v>
      </c>
      <c r="F151">
        <v>15229.9260880527</v>
      </c>
      <c r="G151">
        <v>41.628432822906802</v>
      </c>
    </row>
    <row r="152" spans="1:7" x14ac:dyDescent="0.35">
      <c r="A152" s="2">
        <v>45162</v>
      </c>
      <c r="B152" s="3">
        <v>15253</v>
      </c>
      <c r="D152" s="4">
        <v>45162</v>
      </c>
      <c r="E152">
        <v>15246.6408880172</v>
      </c>
      <c r="F152">
        <v>15235.367723633701</v>
      </c>
      <c r="G152">
        <v>11.2731643834792</v>
      </c>
    </row>
    <row r="153" spans="1:7" x14ac:dyDescent="0.35">
      <c r="A153" s="2">
        <v>45163</v>
      </c>
      <c r="B153" s="3">
        <v>15297</v>
      </c>
      <c r="D153" s="4">
        <v>45163</v>
      </c>
      <c r="E153">
        <v>15258.2491890806</v>
      </c>
      <c r="F153">
        <v>15240.8093592147</v>
      </c>
      <c r="G153">
        <v>17.439829865867701</v>
      </c>
    </row>
    <row r="154" spans="1:7" x14ac:dyDescent="0.35">
      <c r="A154" s="2">
        <v>45166</v>
      </c>
      <c r="B154" s="3">
        <v>15294</v>
      </c>
      <c r="D154" s="4">
        <v>45166</v>
      </c>
      <c r="E154">
        <v>15287.4484804646</v>
      </c>
      <c r="F154">
        <v>15257.1342659577</v>
      </c>
      <c r="G154">
        <v>30.314214506859699</v>
      </c>
    </row>
    <row r="155" spans="1:7" x14ac:dyDescent="0.35">
      <c r="A155" s="2">
        <v>45167</v>
      </c>
      <c r="B155" s="3">
        <v>15263</v>
      </c>
      <c r="D155" s="4">
        <v>45167</v>
      </c>
      <c r="E155">
        <v>15294.522208688501</v>
      </c>
      <c r="F155">
        <v>15262.575901538799</v>
      </c>
      <c r="G155">
        <v>31.946307149751199</v>
      </c>
    </row>
    <row r="156" spans="1:7" x14ac:dyDescent="0.35">
      <c r="A156" s="2">
        <v>45168</v>
      </c>
      <c r="B156" s="3">
        <v>15239</v>
      </c>
      <c r="D156" s="4">
        <v>45168</v>
      </c>
      <c r="E156">
        <v>15309.6459699427</v>
      </c>
      <c r="F156">
        <v>15268.0175371198</v>
      </c>
      <c r="G156">
        <v>41.628432822895299</v>
      </c>
    </row>
    <row r="157" spans="1:7" x14ac:dyDescent="0.35">
      <c r="A157" s="2">
        <v>45169</v>
      </c>
      <c r="B157" s="3">
        <v>15237</v>
      </c>
      <c r="D157" s="4">
        <v>45169</v>
      </c>
      <c r="E157">
        <v>15284.7323370842</v>
      </c>
      <c r="F157">
        <v>15273.459172700799</v>
      </c>
      <c r="G157">
        <v>11.2731643834647</v>
      </c>
    </row>
    <row r="158" spans="1:7" x14ac:dyDescent="0.35">
      <c r="A158" s="2">
        <v>45170</v>
      </c>
      <c r="B158" s="3">
        <v>15252</v>
      </c>
      <c r="D158" s="4">
        <v>45170</v>
      </c>
      <c r="E158">
        <v>15296.3406381477</v>
      </c>
      <c r="F158">
        <v>15278.9008082818</v>
      </c>
      <c r="G158">
        <v>17.439829865904699</v>
      </c>
    </row>
    <row r="159" spans="1:7" x14ac:dyDescent="0.35">
      <c r="A159" s="2">
        <v>45173</v>
      </c>
      <c r="B159" s="3">
        <v>15247</v>
      </c>
      <c r="D159" s="4">
        <v>45173</v>
      </c>
      <c r="E159">
        <v>15325.5399295318</v>
      </c>
      <c r="F159">
        <v>15295.225715024801</v>
      </c>
      <c r="G159">
        <v>30.314214506936398</v>
      </c>
    </row>
    <row r="160" spans="1:7" x14ac:dyDescent="0.35">
      <c r="A160" s="2">
        <v>45174</v>
      </c>
      <c r="B160" s="3">
        <v>15260</v>
      </c>
      <c r="D160" s="4">
        <v>45174</v>
      </c>
      <c r="E160">
        <v>15332.613657755601</v>
      </c>
      <c r="F160">
        <v>15300.6673506059</v>
      </c>
      <c r="G160">
        <v>31.946307149786001</v>
      </c>
    </row>
    <row r="161" spans="1:7" x14ac:dyDescent="0.35">
      <c r="A161" s="2">
        <v>45175</v>
      </c>
      <c r="B161" s="3">
        <v>15307</v>
      </c>
      <c r="D161" s="4">
        <v>45175</v>
      </c>
      <c r="E161">
        <v>15347.7374190098</v>
      </c>
      <c r="F161">
        <v>15306.1089861869</v>
      </c>
      <c r="G161">
        <v>41.628432822886197</v>
      </c>
    </row>
    <row r="162" spans="1:7" x14ac:dyDescent="0.35">
      <c r="A162" s="2">
        <v>45176</v>
      </c>
      <c r="B162" s="3">
        <v>15334</v>
      </c>
      <c r="D162" s="4">
        <v>45176</v>
      </c>
      <c r="E162">
        <v>15322.823786151401</v>
      </c>
      <c r="F162">
        <v>15311.550621767899</v>
      </c>
      <c r="G162">
        <v>11.273164383484</v>
      </c>
    </row>
    <row r="163" spans="1:7" x14ac:dyDescent="0.35">
      <c r="A163" s="2">
        <v>45177</v>
      </c>
      <c r="B163" s="3">
        <v>15341</v>
      </c>
      <c r="D163" s="4">
        <v>45177</v>
      </c>
      <c r="E163">
        <v>15334.4320872148</v>
      </c>
      <c r="F163">
        <v>15316.9922573489</v>
      </c>
      <c r="G163">
        <v>17.4398298659418</v>
      </c>
    </row>
    <row r="164" spans="1:7" x14ac:dyDescent="0.35">
      <c r="A164" s="2">
        <v>45180</v>
      </c>
      <c r="B164" s="3">
        <v>15352</v>
      </c>
      <c r="D164" s="4">
        <v>45180</v>
      </c>
      <c r="E164">
        <v>15363.6313785987</v>
      </c>
      <c r="F164">
        <v>15333.317164092001</v>
      </c>
      <c r="G164">
        <v>30.314214506715</v>
      </c>
    </row>
    <row r="165" spans="1:7" x14ac:dyDescent="0.35">
      <c r="A165" s="2">
        <v>45181</v>
      </c>
      <c r="B165" s="3">
        <v>15344</v>
      </c>
      <c r="D165" s="4">
        <v>45181</v>
      </c>
      <c r="E165">
        <v>15370.705106822799</v>
      </c>
      <c r="F165">
        <v>15338.758799673</v>
      </c>
      <c r="G165">
        <v>31.946307149817201</v>
      </c>
    </row>
    <row r="166" spans="1:7" x14ac:dyDescent="0.35">
      <c r="A166" s="2">
        <v>45182</v>
      </c>
      <c r="B166" s="3">
        <v>15367</v>
      </c>
      <c r="D166" s="4">
        <v>45182</v>
      </c>
      <c r="E166">
        <v>15385.8288680769</v>
      </c>
      <c r="F166">
        <v>15344.200435254001</v>
      </c>
      <c r="G166">
        <v>41.628432822872497</v>
      </c>
    </row>
    <row r="167" spans="1:7" x14ac:dyDescent="0.35">
      <c r="A167" s="2">
        <v>45183</v>
      </c>
      <c r="B167" s="3">
        <v>15357</v>
      </c>
      <c r="D167" s="4">
        <v>45183</v>
      </c>
      <c r="E167">
        <v>15360.915235218399</v>
      </c>
      <c r="F167">
        <v>15349.642070835</v>
      </c>
      <c r="G167">
        <v>11.273164383445399</v>
      </c>
    </row>
    <row r="168" spans="1:7" x14ac:dyDescent="0.35">
      <c r="D168" s="4">
        <v>45184</v>
      </c>
      <c r="E168">
        <v>15372.5235362818</v>
      </c>
      <c r="F168">
        <v>15355.083706416</v>
      </c>
      <c r="G168">
        <v>17.439829865774499</v>
      </c>
    </row>
    <row r="169" spans="1:7" x14ac:dyDescent="0.35">
      <c r="D169" s="4">
        <v>45187</v>
      </c>
      <c r="E169">
        <v>15294.2243717741</v>
      </c>
      <c r="F169">
        <v>15360.525341996999</v>
      </c>
      <c r="G169">
        <v>-66.300970222945296</v>
      </c>
    </row>
    <row r="170" spans="1:7" x14ac:dyDescent="0.35">
      <c r="D170" s="4">
        <v>45188</v>
      </c>
      <c r="E170">
        <v>15299.6659990723</v>
      </c>
      <c r="F170">
        <v>15365.9669775781</v>
      </c>
      <c r="G170">
        <v>-66.300978505791804</v>
      </c>
    </row>
    <row r="171" spans="1:7" x14ac:dyDescent="0.35">
      <c r="D171" s="4">
        <v>45189</v>
      </c>
      <c r="E171">
        <v>15401.722827665901</v>
      </c>
      <c r="F171">
        <v>15371.408613159099</v>
      </c>
      <c r="G171">
        <v>30.3142145067917</v>
      </c>
    </row>
    <row r="172" spans="1:7" x14ac:dyDescent="0.35">
      <c r="D172" s="4">
        <v>45190</v>
      </c>
      <c r="E172">
        <v>15408.7965558899</v>
      </c>
      <c r="F172">
        <v>15376.8502487401</v>
      </c>
      <c r="G172">
        <v>31.946307149848302</v>
      </c>
    </row>
    <row r="173" spans="1:7" x14ac:dyDescent="0.35">
      <c r="D173" s="4">
        <v>45191</v>
      </c>
      <c r="E173">
        <v>15423.920317144</v>
      </c>
      <c r="F173">
        <v>15382.291884321099</v>
      </c>
      <c r="G173">
        <v>41.628432822863303</v>
      </c>
    </row>
    <row r="174" spans="1:7" x14ac:dyDescent="0.35">
      <c r="D174" s="4">
        <v>45194</v>
      </c>
      <c r="E174">
        <v>15399.006684285599</v>
      </c>
      <c r="F174">
        <v>15387.7335199021</v>
      </c>
      <c r="G174">
        <v>11.273164383464801</v>
      </c>
    </row>
    <row r="175" spans="1:7" x14ac:dyDescent="0.35">
      <c r="D175" s="4">
        <v>45195</v>
      </c>
      <c r="E175">
        <v>15410.614985349201</v>
      </c>
      <c r="F175">
        <v>15393.175155483101</v>
      </c>
      <c r="G175">
        <v>17.439829866042</v>
      </c>
    </row>
    <row r="176" spans="1:7" x14ac:dyDescent="0.35">
      <c r="D176" s="4">
        <v>45196</v>
      </c>
      <c r="E176">
        <v>15332.315820841101</v>
      </c>
      <c r="F176">
        <v>15398.6167910641</v>
      </c>
      <c r="G176">
        <v>-66.300970223083496</v>
      </c>
    </row>
    <row r="177" spans="4:7" x14ac:dyDescent="0.35">
      <c r="D177" s="4">
        <v>45197</v>
      </c>
      <c r="E177">
        <v>15337.7574481394</v>
      </c>
      <c r="F177">
        <v>15404.058426645201</v>
      </c>
      <c r="G177">
        <v>-66.300978505776698</v>
      </c>
    </row>
    <row r="178" spans="4:7" x14ac:dyDescent="0.35">
      <c r="D178" s="4">
        <v>45198</v>
      </c>
      <c r="E178">
        <v>15439.814276732901</v>
      </c>
      <c r="F178">
        <v>15409.5000622262</v>
      </c>
      <c r="G178">
        <v>30.314214506769201</v>
      </c>
    </row>
    <row r="179" spans="4:7" x14ac:dyDescent="0.35">
      <c r="D179" s="4">
        <v>45201</v>
      </c>
      <c r="E179">
        <v>15446.888004957</v>
      </c>
      <c r="F179">
        <v>15414.9416978072</v>
      </c>
      <c r="G179">
        <v>31.946307149771801</v>
      </c>
    </row>
    <row r="180" spans="4:7" x14ac:dyDescent="0.35">
      <c r="D180" s="4">
        <v>45202</v>
      </c>
      <c r="E180">
        <v>15462.011766211101</v>
      </c>
      <c r="F180">
        <v>15420.383333388199</v>
      </c>
      <c r="G180">
        <v>41.628432822912004</v>
      </c>
    </row>
    <row r="181" spans="4:7" x14ac:dyDescent="0.35">
      <c r="D181" s="4">
        <v>45203</v>
      </c>
      <c r="E181">
        <v>15437.0981333527</v>
      </c>
      <c r="F181">
        <v>15425.8249689692</v>
      </c>
      <c r="G181">
        <v>11.273164383484101</v>
      </c>
    </row>
    <row r="182" spans="4:7" x14ac:dyDescent="0.35">
      <c r="D182" s="4">
        <v>45204</v>
      </c>
      <c r="E182">
        <v>15448.706434416201</v>
      </c>
      <c r="F182">
        <v>15431.266604550199</v>
      </c>
      <c r="G182">
        <v>17.4398298659769</v>
      </c>
    </row>
    <row r="183" spans="4:7" x14ac:dyDescent="0.35">
      <c r="D183" s="4">
        <v>45205</v>
      </c>
      <c r="E183">
        <v>15370.407269908301</v>
      </c>
      <c r="F183">
        <v>15436.7082401313</v>
      </c>
      <c r="G183">
        <v>-66.300970222969397</v>
      </c>
    </row>
    <row r="184" spans="4:7" x14ac:dyDescent="0.35">
      <c r="D184" s="4">
        <v>45208</v>
      </c>
      <c r="E184">
        <v>15375.848897206601</v>
      </c>
      <c r="F184">
        <v>15442.149875712301</v>
      </c>
      <c r="G184">
        <v>-66.300978505636394</v>
      </c>
    </row>
    <row r="185" spans="4:7" x14ac:dyDescent="0.35">
      <c r="D185" s="4">
        <v>45209</v>
      </c>
      <c r="E185">
        <v>15477.905725800199</v>
      </c>
      <c r="F185">
        <v>15447.5915112933</v>
      </c>
      <c r="G185">
        <v>30.314214506945198</v>
      </c>
    </row>
    <row r="186" spans="4:7" x14ac:dyDescent="0.35">
      <c r="D186" t="s">
        <v>0</v>
      </c>
      <c r="E186" t="s">
        <v>2</v>
      </c>
      <c r="F186">
        <v>15453.033146874301</v>
      </c>
      <c r="G186">
        <v>31.946307149802902</v>
      </c>
    </row>
    <row r="187" spans="4:7" x14ac:dyDescent="0.35">
      <c r="D187" s="4">
        <v>44928</v>
      </c>
      <c r="E187">
        <v>15185.750337110099</v>
      </c>
      <c r="F187">
        <v>15458.4747824553</v>
      </c>
      <c r="G187">
        <v>41.6284328229005</v>
      </c>
    </row>
    <row r="188" spans="4:7" x14ac:dyDescent="0.35">
      <c r="D188" s="4">
        <v>44929</v>
      </c>
      <c r="E188">
        <v>15186.338011658599</v>
      </c>
      <c r="F188">
        <v>15463.9164180363</v>
      </c>
      <c r="G188">
        <v>11.273164383503399</v>
      </c>
    </row>
    <row r="189" spans="4:7" x14ac:dyDescent="0.35">
      <c r="D189" s="4">
        <v>44930</v>
      </c>
      <c r="E189">
        <v>15186.9256862072</v>
      </c>
      <c r="F189">
        <v>15469.358053617299</v>
      </c>
      <c r="G189">
        <v>17.439829865911801</v>
      </c>
    </row>
    <row r="190" spans="4:7" x14ac:dyDescent="0.35">
      <c r="D190" s="4">
        <v>44931</v>
      </c>
      <c r="E190">
        <v>15187.5133607558</v>
      </c>
      <c r="F190">
        <v>15474.7996891984</v>
      </c>
      <c r="G190">
        <v>-66.300970223107498</v>
      </c>
    </row>
    <row r="191" spans="4:7" x14ac:dyDescent="0.35">
      <c r="D191" s="4">
        <v>44932</v>
      </c>
      <c r="E191">
        <v>15188.1010353044</v>
      </c>
      <c r="F191">
        <v>15480.241324779399</v>
      </c>
      <c r="G191">
        <v>-66.300978505861593</v>
      </c>
    </row>
    <row r="192" spans="4:7" x14ac:dyDescent="0.35">
      <c r="D192" s="4">
        <v>44935</v>
      </c>
      <c r="E192">
        <v>15188.688709852901</v>
      </c>
      <c r="F192">
        <v>15485.6829603604</v>
      </c>
      <c r="G192">
        <v>30.314214506624399</v>
      </c>
    </row>
    <row r="193" spans="4:7" x14ac:dyDescent="0.35">
      <c r="D193" s="4">
        <v>44936</v>
      </c>
      <c r="E193">
        <v>15189.276384401501</v>
      </c>
      <c r="F193">
        <v>15491.124595941399</v>
      </c>
      <c r="G193">
        <v>31.9463071497802</v>
      </c>
    </row>
    <row r="194" spans="4:7" x14ac:dyDescent="0.35">
      <c r="D194" s="4">
        <v>44937</v>
      </c>
      <c r="E194">
        <v>15189.864058950099</v>
      </c>
      <c r="F194">
        <v>15496.5662315224</v>
      </c>
      <c r="G194">
        <v>41.628432822889103</v>
      </c>
    </row>
    <row r="195" spans="4:7" x14ac:dyDescent="0.35">
      <c r="D195" s="4">
        <v>44938</v>
      </c>
      <c r="E195">
        <v>15190.451733498699</v>
      </c>
      <c r="F195">
        <v>15502.007867103401</v>
      </c>
      <c r="G195">
        <v>11.273164383464801</v>
      </c>
    </row>
    <row r="196" spans="4:7" x14ac:dyDescent="0.35">
      <c r="D196" s="4">
        <v>44939</v>
      </c>
      <c r="E196">
        <v>15191.0394080472</v>
      </c>
      <c r="F196">
        <v>15507.4495026845</v>
      </c>
      <c r="G196">
        <v>17.439829866077101</v>
      </c>
    </row>
    <row r="197" spans="4:7" x14ac:dyDescent="0.35">
      <c r="D197" s="4">
        <v>44942</v>
      </c>
      <c r="E197">
        <v>15191.6270825958</v>
      </c>
      <c r="F197">
        <v>15512.891138265501</v>
      </c>
      <c r="G197">
        <v>-66.300970223245599</v>
      </c>
    </row>
    <row r="198" spans="4:7" x14ac:dyDescent="0.35">
      <c r="D198" s="4">
        <v>44943</v>
      </c>
      <c r="E198">
        <v>15192.2147571444</v>
      </c>
      <c r="F198">
        <v>15518.3327738465</v>
      </c>
      <c r="G198">
        <v>-66.300978505846402</v>
      </c>
    </row>
    <row r="199" spans="4:7" x14ac:dyDescent="0.35">
      <c r="D199" s="4">
        <v>44944</v>
      </c>
      <c r="E199">
        <v>15192.802431693</v>
      </c>
      <c r="F199">
        <v>15523.7744094275</v>
      </c>
      <c r="G199">
        <v>30.314214506701202</v>
      </c>
    </row>
    <row r="200" spans="4:7" x14ac:dyDescent="0.35">
      <c r="D200" s="4">
        <v>44945</v>
      </c>
      <c r="E200">
        <v>15193.390106241601</v>
      </c>
      <c r="F200">
        <v>15529.216045008499</v>
      </c>
      <c r="G200">
        <v>31.946307149757502</v>
      </c>
    </row>
    <row r="201" spans="4:7" x14ac:dyDescent="0.35">
      <c r="D201" s="4">
        <v>44946</v>
      </c>
      <c r="E201">
        <v>15193.977780790099</v>
      </c>
      <c r="F201">
        <v>15534.6576805895</v>
      </c>
      <c r="G201">
        <v>41.628432822880001</v>
      </c>
    </row>
    <row r="202" spans="4:7" x14ac:dyDescent="0.35">
      <c r="D202" s="4">
        <v>44950</v>
      </c>
      <c r="E202">
        <v>15194.565455338699</v>
      </c>
      <c r="F202">
        <v>15540.099316170599</v>
      </c>
      <c r="G202">
        <v>11.2731643835083</v>
      </c>
    </row>
    <row r="203" spans="4:7" x14ac:dyDescent="0.35">
      <c r="D203" s="4">
        <v>44951</v>
      </c>
      <c r="E203">
        <v>15195.1531298873</v>
      </c>
      <c r="F203">
        <v>15545.5409517516</v>
      </c>
      <c r="G203">
        <v>17.439829866114199</v>
      </c>
    </row>
    <row r="204" spans="4:7" x14ac:dyDescent="0.35">
      <c r="D204" s="4">
        <v>44952</v>
      </c>
      <c r="E204">
        <v>15195.7408044359</v>
      </c>
      <c r="F204">
        <v>15550.982587332601</v>
      </c>
      <c r="G204">
        <v>-66.3009702231315</v>
      </c>
    </row>
    <row r="205" spans="4:7" x14ac:dyDescent="0.35">
      <c r="D205" s="4">
        <v>44953</v>
      </c>
      <c r="E205">
        <v>15196.3284789844</v>
      </c>
      <c r="F205">
        <v>15556.4242229136</v>
      </c>
      <c r="G205">
        <v>-66.300978505831196</v>
      </c>
    </row>
    <row r="206" spans="4:7" x14ac:dyDescent="0.35">
      <c r="D206" s="4">
        <v>44956</v>
      </c>
      <c r="E206">
        <v>15196.916153533</v>
      </c>
      <c r="F206">
        <v>15561.865858494601</v>
      </c>
      <c r="G206">
        <v>30.314214506778001</v>
      </c>
    </row>
    <row r="207" spans="4:7" x14ac:dyDescent="0.35">
      <c r="D207" s="4">
        <v>44957</v>
      </c>
      <c r="E207">
        <v>15197.503828081601</v>
      </c>
      <c r="F207">
        <v>15567.3074940756</v>
      </c>
      <c r="G207">
        <v>31.9463071497923</v>
      </c>
    </row>
    <row r="208" spans="4:7" x14ac:dyDescent="0.35">
      <c r="D208" s="4">
        <v>44958</v>
      </c>
      <c r="E208">
        <v>15198.091502630199</v>
      </c>
      <c r="F208">
        <v>15572.7491296566</v>
      </c>
      <c r="G208">
        <v>41.628432822870799</v>
      </c>
    </row>
    <row r="209" spans="4:7" x14ac:dyDescent="0.35">
      <c r="D209" s="4">
        <v>44959</v>
      </c>
      <c r="E209">
        <v>15198.679177178699</v>
      </c>
      <c r="F209">
        <v>15578.190765237699</v>
      </c>
      <c r="G209">
        <v>11.2731643834697</v>
      </c>
    </row>
    <row r="210" spans="4:7" x14ac:dyDescent="0.35">
      <c r="D210" s="4">
        <v>44960</v>
      </c>
      <c r="E210">
        <v>15199.2668517273</v>
      </c>
      <c r="F210">
        <v>15583.6324008187</v>
      </c>
      <c r="G210">
        <v>17.439829866049099</v>
      </c>
    </row>
    <row r="211" spans="4:7" x14ac:dyDescent="0.35">
      <c r="D211" s="4">
        <v>44963</v>
      </c>
      <c r="E211">
        <v>15199.8545262759</v>
      </c>
      <c r="F211">
        <v>15589.074036399699</v>
      </c>
      <c r="G211">
        <v>-66.300970223269601</v>
      </c>
    </row>
    <row r="212" spans="4:7" x14ac:dyDescent="0.35">
      <c r="D212" s="4">
        <v>44964</v>
      </c>
      <c r="E212">
        <v>15200.4422008245</v>
      </c>
      <c r="F212">
        <v>15594.5156719807</v>
      </c>
      <c r="G212">
        <v>-66.300978505691006</v>
      </c>
    </row>
    <row r="213" spans="4:7" x14ac:dyDescent="0.35">
      <c r="D213" s="4">
        <v>44965</v>
      </c>
      <c r="E213">
        <v>15201.0298753731</v>
      </c>
      <c r="F213">
        <v>15599.957307561701</v>
      </c>
      <c r="G213">
        <v>30.3142145068547</v>
      </c>
    </row>
    <row r="214" spans="4:7" x14ac:dyDescent="0.35">
      <c r="D214" s="4">
        <v>44966</v>
      </c>
      <c r="E214">
        <v>15201.617549921601</v>
      </c>
      <c r="F214">
        <v>15605.3989431427</v>
      </c>
      <c r="G214">
        <v>31.9463071498235</v>
      </c>
    </row>
    <row r="215" spans="4:7" x14ac:dyDescent="0.35">
      <c r="D215" s="4">
        <v>44967</v>
      </c>
      <c r="E215">
        <v>15202.205224470201</v>
      </c>
      <c r="F215">
        <v>15610.840578723801</v>
      </c>
      <c r="G215">
        <v>41.6284328228571</v>
      </c>
    </row>
    <row r="216" spans="4:7" x14ac:dyDescent="0.35">
      <c r="D216" s="4">
        <v>44970</v>
      </c>
      <c r="E216">
        <v>15202.792899018799</v>
      </c>
      <c r="F216">
        <v>15616.2822143048</v>
      </c>
      <c r="G216">
        <v>11.273164383489</v>
      </c>
    </row>
    <row r="217" spans="4:7" x14ac:dyDescent="0.35">
      <c r="D217" s="4">
        <v>44971</v>
      </c>
      <c r="E217">
        <v>15203.3805735674</v>
      </c>
      <c r="F217">
        <v>15621.723849885801</v>
      </c>
      <c r="G217">
        <v>17.439829865983999</v>
      </c>
    </row>
    <row r="218" spans="4:7" x14ac:dyDescent="0.35">
      <c r="D218" s="4">
        <v>44972</v>
      </c>
      <c r="E218">
        <v>15203.9682481159</v>
      </c>
      <c r="F218">
        <v>15627.1654854668</v>
      </c>
      <c r="G218">
        <v>-66.300970223057405</v>
      </c>
    </row>
    <row r="219" spans="4:7" x14ac:dyDescent="0.35">
      <c r="D219" s="4">
        <v>44973</v>
      </c>
      <c r="E219">
        <v>15204.5559226645</v>
      </c>
      <c r="F219">
        <v>15632.6071210478</v>
      </c>
      <c r="G219">
        <v>-66.300978506041204</v>
      </c>
    </row>
    <row r="220" spans="4:7" x14ac:dyDescent="0.35">
      <c r="D220" s="4">
        <v>44974</v>
      </c>
      <c r="E220">
        <v>15205.1435972131</v>
      </c>
      <c r="F220">
        <v>15638.048756628799</v>
      </c>
      <c r="G220">
        <v>30.314214506832201</v>
      </c>
    </row>
    <row r="221" spans="4:7" x14ac:dyDescent="0.35">
      <c r="D221" s="4">
        <v>44977</v>
      </c>
      <c r="E221">
        <v>15205.731271761701</v>
      </c>
      <c r="F221">
        <v>15643.4903922099</v>
      </c>
      <c r="G221">
        <v>31.9463071497469</v>
      </c>
    </row>
    <row r="222" spans="4:7" x14ac:dyDescent="0.35">
      <c r="D222" s="4">
        <v>44978</v>
      </c>
      <c r="E222">
        <v>15206.318946310201</v>
      </c>
      <c r="F222">
        <v>15648.932027790899</v>
      </c>
      <c r="G222">
        <v>41.628432822847898</v>
      </c>
    </row>
    <row r="223" spans="4:7" x14ac:dyDescent="0.35">
      <c r="D223" s="4">
        <v>44979</v>
      </c>
      <c r="E223">
        <v>15206.906620858799</v>
      </c>
      <c r="F223">
        <v>15654.3736633719</v>
      </c>
      <c r="G223">
        <v>11.2731643834745</v>
      </c>
    </row>
    <row r="224" spans="4:7" x14ac:dyDescent="0.35">
      <c r="D224" s="4">
        <v>44980</v>
      </c>
      <c r="E224">
        <v>15207.494295407399</v>
      </c>
      <c r="F224">
        <v>15659.815298952901</v>
      </c>
      <c r="G224">
        <v>17.439829865918899</v>
      </c>
    </row>
    <row r="225" spans="4:7" x14ac:dyDescent="0.35">
      <c r="D225" s="4">
        <v>44981</v>
      </c>
      <c r="E225">
        <v>15208.081969956</v>
      </c>
      <c r="F225">
        <v>15665.2569345339</v>
      </c>
      <c r="G225">
        <v>-66.300970223195506</v>
      </c>
    </row>
    <row r="226" spans="4:7" x14ac:dyDescent="0.35">
      <c r="D226" s="4">
        <v>44984</v>
      </c>
      <c r="E226">
        <v>15208.6696445046</v>
      </c>
      <c r="F226">
        <v>15670.698570114901</v>
      </c>
      <c r="G226">
        <v>-66.300978505901</v>
      </c>
    </row>
    <row r="227" spans="4:7" x14ac:dyDescent="0.35">
      <c r="D227" s="4">
        <v>44985</v>
      </c>
      <c r="E227">
        <v>15209.2573190531</v>
      </c>
      <c r="F227">
        <v>15676.140205696</v>
      </c>
      <c r="G227">
        <v>30.3142145069089</v>
      </c>
    </row>
    <row r="228" spans="4:7" x14ac:dyDescent="0.35">
      <c r="D228" s="4">
        <v>44986</v>
      </c>
      <c r="E228">
        <v>15209.8449936017</v>
      </c>
      <c r="F228">
        <v>15681.581841277</v>
      </c>
      <c r="G228">
        <v>31.946307149778001</v>
      </c>
    </row>
    <row r="229" spans="4:7" x14ac:dyDescent="0.35">
      <c r="D229" s="4">
        <v>44987</v>
      </c>
      <c r="E229">
        <v>15210.432668150301</v>
      </c>
      <c r="F229">
        <v>15687.023476857999</v>
      </c>
      <c r="G229">
        <v>41.628432822896599</v>
      </c>
    </row>
    <row r="230" spans="4:7" x14ac:dyDescent="0.35">
      <c r="D230" s="4">
        <v>44988</v>
      </c>
      <c r="E230">
        <v>15211.020342698899</v>
      </c>
      <c r="F230">
        <v>15692.465112439</v>
      </c>
      <c r="G230">
        <v>11.2731643834938</v>
      </c>
    </row>
    <row r="231" spans="4:7" x14ac:dyDescent="0.35">
      <c r="D231" s="4">
        <v>44991</v>
      </c>
      <c r="E231">
        <v>15211.608017247399</v>
      </c>
      <c r="F231">
        <v>15697.906748019999</v>
      </c>
      <c r="G231">
        <v>17.439829865956</v>
      </c>
    </row>
    <row r="232" spans="4:7" x14ac:dyDescent="0.35">
      <c r="D232" s="4">
        <v>44992</v>
      </c>
      <c r="E232">
        <v>15212.195691796</v>
      </c>
      <c r="F232">
        <v>15703.348383601</v>
      </c>
      <c r="G232">
        <v>-66.300970223081407</v>
      </c>
    </row>
    <row r="233" spans="4:7" x14ac:dyDescent="0.35">
      <c r="D233" s="4">
        <v>44993</v>
      </c>
      <c r="E233">
        <v>15212.7833663446</v>
      </c>
      <c r="F233">
        <v>15708.790019182001</v>
      </c>
      <c r="G233">
        <v>-66.300978505760696</v>
      </c>
    </row>
    <row r="234" spans="4:7" x14ac:dyDescent="0.35">
      <c r="D234" s="4">
        <v>44994</v>
      </c>
      <c r="E234">
        <v>15213.3710408932</v>
      </c>
      <c r="F234">
        <v>15714.2316547631</v>
      </c>
      <c r="G234">
        <v>30.314214506687399</v>
      </c>
    </row>
    <row r="235" spans="4:7" x14ac:dyDescent="0.35">
      <c r="D235" s="4">
        <v>44995</v>
      </c>
      <c r="E235">
        <v>15213.9587154417</v>
      </c>
      <c r="F235">
        <v>15719.673290344101</v>
      </c>
      <c r="G235">
        <v>31.946307149755299</v>
      </c>
    </row>
    <row r="236" spans="4:7" x14ac:dyDescent="0.35">
      <c r="D236" s="4">
        <v>44998</v>
      </c>
      <c r="E236">
        <v>15214.546389990301</v>
      </c>
      <c r="F236">
        <v>15725.1149259251</v>
      </c>
      <c r="G236">
        <v>41.628432822885202</v>
      </c>
    </row>
    <row r="237" spans="4:7" x14ac:dyDescent="0.35">
      <c r="D237" s="4">
        <v>44999</v>
      </c>
      <c r="E237">
        <v>15215.134064538899</v>
      </c>
      <c r="F237">
        <v>15730.5565615061</v>
      </c>
      <c r="G237">
        <v>11.2731643834552</v>
      </c>
    </row>
    <row r="238" spans="4:7" x14ac:dyDescent="0.35">
      <c r="D238" s="4">
        <v>45000</v>
      </c>
      <c r="E238">
        <v>15215.721739087499</v>
      </c>
      <c r="F238">
        <v>15735.998197087099</v>
      </c>
      <c r="G238">
        <v>17.439829865788798</v>
      </c>
    </row>
    <row r="239" spans="4:7" x14ac:dyDescent="0.35">
      <c r="D239" s="4">
        <v>45001</v>
      </c>
      <c r="E239">
        <v>15216.3094136361</v>
      </c>
      <c r="F239">
        <v>15741.4398326681</v>
      </c>
      <c r="G239">
        <v>-66.300970223219593</v>
      </c>
    </row>
    <row r="240" spans="4:7" x14ac:dyDescent="0.35">
      <c r="D240" s="4">
        <v>45002</v>
      </c>
      <c r="E240">
        <v>15216.8970881846</v>
      </c>
      <c r="F240">
        <v>15746.881468249199</v>
      </c>
      <c r="G240">
        <v>-66.300978505870702</v>
      </c>
    </row>
    <row r="241" spans="4:7" x14ac:dyDescent="0.35">
      <c r="D241" s="4">
        <v>45005</v>
      </c>
      <c r="E241">
        <v>15217.4847627332</v>
      </c>
      <c r="F241">
        <v>15752.3231038302</v>
      </c>
      <c r="G241">
        <v>30.314214506764198</v>
      </c>
    </row>
    <row r="242" spans="4:7" x14ac:dyDescent="0.35">
      <c r="D242" s="4">
        <v>45006</v>
      </c>
      <c r="E242">
        <v>15218.0724372818</v>
      </c>
      <c r="F242">
        <v>15757.764739411199</v>
      </c>
      <c r="G242">
        <v>31.946307149786499</v>
      </c>
    </row>
    <row r="243" spans="4:7" x14ac:dyDescent="0.35">
      <c r="D243" s="4">
        <v>45009</v>
      </c>
      <c r="E243">
        <v>15218.660111830401</v>
      </c>
      <c r="F243">
        <v>15763.2063749922</v>
      </c>
      <c r="G243">
        <v>41.628432822873798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(3)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Lenovo</cp:lastModifiedBy>
  <dcterms:created xsi:type="dcterms:W3CDTF">2023-09-15T10:52:35Z</dcterms:created>
  <dcterms:modified xsi:type="dcterms:W3CDTF">2023-09-19T01:40:54Z</dcterms:modified>
</cp:coreProperties>
</file>